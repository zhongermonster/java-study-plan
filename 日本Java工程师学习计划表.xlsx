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30e004bad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8718913d1bf44c4"/>
    <x:sheet xmlns:r="http://schemas.openxmlformats.org/officeDocument/2006/relationships" name="48周计划" sheetId="2" r:id="R760b1813956d4ae2"/>
    <x:sheet xmlns:r="http://schemas.openxmlformats.org/officeDocument/2006/relationships" name="每日安排" sheetId="3" r:id="R4bce1875635f444a"/>
    <x:sheet xmlns:r="http://schemas.openxmlformats.org/officeDocument/2006/relationships" name="项目作品集" sheetId="4" r:id="R1a8458a0904a4c58"/>
    <x:sheet xmlns:r="http://schemas.openxmlformats.org/officeDocument/2006/relationships" name="面试准备" sheetId="5" r:id="Rcf1f19a5e3994eae"/>
    <x:sheet xmlns:r="http://schemas.openxmlformats.org/officeDocument/2006/relationships" name="技术日语" sheetId="6" r:id="R76fe7bbc5d314a0d"/>
    <x:sheet xmlns:r="http://schemas.openxmlformats.org/officeDocument/2006/relationships" name="进度看板" sheetId="7" r:id="R528c8bf96a30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  <x:font>
      <x:b/>
      <x:sz val="16"/>
      <x:color rgb="FF1F2933"/>
      <x:name val="Microsoft YaHei"/>
    </x:font>
    <x:font>
      <x:sz val="11"/>
      <x:color rgb="FF1F2933"/>
      <x:name val="Microsoft YaHei"/>
    </x:font>
    <x:font>
      <x:b/>
      <x:sz val="11"/>
      <x:color rgb="FF1F2933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3F7C85"/>
      </x:patternFill>
    </x:fill>
    <x:fill>
      <x:patternFill patternType="solid">
        <x:fgColor rgb="FFD8EEF0"/>
      </x:patternFill>
    </x:fill>
    <x:fill>
      <x:patternFill patternType="solid">
        <x:fgColor rgb="FFFFFFFF"/>
      </x:patternFill>
    </x:fill>
    <x:fill>
      <x:patternFill patternType="solid">
        <x:fgColor rgb="FFDDEEDC"/>
      </x:patternFill>
    </x:fill>
  </x:fills>
  <x:borders count="19">
    <x:border/>
    <x:border>
      <x:left style="thin">
        <x:color rgb="FFCBD5D8"/>
      </x:left>
      <x:top style="thin">
        <x:color rgb="FFCBD5D8"/>
      </x:top>
      <x:bottom style="thin">
        <x:color rgb="FFCBD5D8"/>
      </x:bottom>
    </x:border>
    <x:border>
      <x:top style="thin">
        <x:color rgb="FFCBD5D8"/>
      </x:top>
      <x:bottom style="thin">
        <x:color rgb="FFCBD5D8"/>
      </x:bottom>
    </x:border>
    <x:border>
      <x:right style="thin">
        <x:color rgb="FFCBD5D8"/>
      </x:right>
      <x:top style="thin">
        <x:color rgb="FFCBD5D8"/>
      </x:top>
      <x:bottom style="thin">
        <x:color rgb="FFCBD5D8"/>
      </x:bottom>
    </x:border>
    <x:border>
      <x:right style="thin">
        <x:color rgb="FFE5ECEF"/>
      </x:right>
    </x:border>
    <x:border>
      <x:left style="thin">
        <x:color rgb="FFE5ECEF"/>
      </x:left>
      <x:right style="thin">
        <x:color rgb="FFE5ECEF"/>
      </x:right>
    </x:border>
    <x:border>
      <x:left style="thin">
        <x:color rgb="FFE5ECEF"/>
      </x:left>
    </x:border>
    <x:border>
      <x:right style="thin">
        <x:color rgb="FFE5ECEF"/>
      </x:right>
      <x:bottom style="thin">
        <x:color rgb="FFE5ECEF"/>
      </x:bottom>
    </x:border>
    <x:border>
      <x:left style="thin">
        <x:color rgb="FFE5ECEF"/>
      </x:left>
      <x:right style="thin">
        <x:color rgb="FFE5ECEF"/>
      </x:right>
      <x:bottom style="thin">
        <x:color rgb="FFE5ECEF"/>
      </x:bottom>
    </x:border>
    <x:border>
      <x:left style="thin">
        <x:color rgb="FFE5ECEF"/>
      </x:left>
      <x:bottom style="thin">
        <x:color rgb="FFE5ECEF"/>
      </x:bottom>
    </x:border>
    <x:border>
      <x:right style="thin">
        <x:color rgb="FFE5ECEF"/>
      </x:right>
      <x:top style="thin">
        <x:color rgb="FFE5ECEF"/>
      </x:top>
      <x:bottom style="thin">
        <x:color rgb="FFE5ECEF"/>
      </x:bottom>
    </x:border>
    <x:border>
      <x:left style="thin">
        <x:color rgb="FFE5ECEF"/>
      </x:left>
      <x:right style="thin">
        <x:color rgb="FFE5ECEF"/>
      </x:right>
      <x:top style="thin">
        <x:color rgb="FFE5ECEF"/>
      </x:top>
      <x:bottom style="thin">
        <x:color rgb="FFE5ECEF"/>
      </x:bottom>
    </x:border>
    <x:border>
      <x:left style="thin">
        <x:color rgb="FFE5ECEF"/>
      </x:left>
      <x:top style="thin">
        <x:color rgb="FFE5ECEF"/>
      </x:top>
      <x:bottom style="thin">
        <x:color rgb="FFE5ECEF"/>
      </x:bottom>
    </x:border>
    <x:border>
      <x:right style="thin">
        <x:color rgb="FFE5ECEF"/>
      </x:right>
      <x:top style="thin">
        <x:color rgb="FFE5ECEF"/>
      </x:top>
    </x:border>
    <x:border>
      <x:left style="thin">
        <x:color rgb="FFE5ECEF"/>
      </x:left>
      <x:right style="thin">
        <x:color rgb="FFE5ECEF"/>
      </x:right>
      <x:top style="thin">
        <x:color rgb="FFE5ECEF"/>
      </x:top>
    </x:border>
    <x:border>
      <x:left style="thin">
        <x:color rgb="FFE5ECEF"/>
      </x:left>
      <x:top style="thin">
        <x:color rgb="FFE5ECEF"/>
      </x:top>
    </x:border>
    <x:border>
      <x:left style="thin">
        <x:color rgb="FFCBD5D8"/>
      </x:left>
      <x:right style="thin">
        <x:color rgb="FFCBD5D8"/>
      </x:right>
      <x:top style="thin">
        <x:color rgb="FFCBD5D8"/>
      </x:top>
    </x:border>
    <x:border>
      <x:left style="thin">
        <x:color rgb="FFCBD5D8"/>
      </x:left>
      <x:right style="thin">
        <x:color rgb="FFCBD5D8"/>
      </x:right>
    </x:border>
    <x:border>
      <x:left style="thin">
        <x:color rgb="FFCBD5D8"/>
      </x:left>
      <x:right style="thin">
        <x:color rgb="FFCBD5D8"/>
      </x:right>
      <x:bottom style="thin">
        <x:color rgb="FFCBD5D8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201" fontId="3" fillId="0" borderId="11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202" fontId="4" fillId="5" borderId="17" xfId="0" applyNumberFormat="1" applyFont="1" applyFill="1" applyBorder="1"/>
    <x:xf numFmtId="200" fontId="4" fillId="5" borderId="18" xfId="0" applyNumberFormat="1" applyFont="1" applyFill="1" applyBorder="1"/>
    <x:xf numFmtId="0" fontId="4" fillId="5" borderId="16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/>
    </x:xf>
    <x:xf numFmtId="202" fontId="4" fillId="5" borderId="17" xfId="0" applyNumberFormat="1" applyFont="1" applyFill="1" applyBorder="1" applyAlignment="1">
      <x:alignment horizontal="center"/>
    </x:xf>
    <x:xf numFmtId="200" fontId="4" fillId="5" borderId="18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1" fontId="6" fillId="0" borderId="8" xfId="0" applyNumberFormat="1" applyFont="1" applyFill="1" applyBorder="1" applyAlignment="1">
      <x:alignment vertical="top" wrapText="1"/>
    </x:xf>
    <x:xf numFmtId="201" fontId="6" fillId="0" borderId="11" xfId="0" applyNumberFormat="1" applyFont="1" applyFill="1" applyBorder="1" applyAlignment="1">
      <x:alignment vertical="top" wrapText="1"/>
    </x:xf>
    <x:xf numFmtId="201" fontId="6" fillId="0" borderId="14" xfId="0" applyNumberFormat="1" applyFont="1" applyFill="1" applyBorder="1" applyAlignment="1">
      <x:alignment vertical="top" wrapText="1"/>
    </x:xf>
    <x:xf numFmtId="0" fontId="7" fillId="4" borderId="16" xfId="0" applyNumberFormat="1" applyFont="1" applyFill="1" applyBorder="1"/>
    <x:xf numFmtId="0" fontId="7" fillId="5" borderId="16" xfId="0" applyNumberFormat="1" applyFont="1" applyFill="1" applyBorder="1" applyAlignment="1">
      <x:alignment horizontal="center"/>
    </x:xf>
    <x:xf numFmtId="0" fontId="7" fillId="4" borderId="17" xfId="0" applyNumberFormat="1" applyFont="1" applyFill="1" applyBorder="1"/>
    <x:xf numFmtId="0" fontId="7" fillId="5" borderId="17" xfId="0" applyNumberFormat="1" applyFont="1" applyFill="1" applyBorder="1" applyAlignment="1">
      <x:alignment horizontal="center"/>
    </x:xf>
    <x:xf numFmtId="202" fontId="7" fillId="5" borderId="17" xfId="0" applyNumberFormat="1" applyFont="1" applyFill="1" applyBorder="1" applyAlignment="1">
      <x:alignment horizontal="center"/>
    </x:xf>
    <x:xf numFmtId="0" fontId="7" fillId="4" borderId="18" xfId="0" applyNumberFormat="1" applyFont="1" applyFill="1" applyBorder="1"/>
    <x:xf numFmtId="200" fontId="7" fillId="5" borderId="18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73a48e2814929" /><Relationship Type="http://schemas.openxmlformats.org/officeDocument/2006/relationships/theme" Target="/xl/theme/theme1.xml" Id="R55208adcad2a47e5" /><Relationship Type="http://schemas.openxmlformats.org/officeDocument/2006/relationships/sharedStrings" Target="/xl/sharedStrings.xml" Id="R4da3d3df975b4d8f" /><Relationship Type="http://schemas.openxmlformats.org/officeDocument/2006/relationships/worksheet" Target="/xl/worksheets/sheet1.xml" Id="R88718913d1bf44c4" /><Relationship Type="http://schemas.openxmlformats.org/officeDocument/2006/relationships/worksheet" Target="/xl/worksheets/sheet2.xml" Id="R760b1813956d4ae2" /><Relationship Type="http://schemas.openxmlformats.org/officeDocument/2006/relationships/worksheet" Target="/xl/worksheets/sheet3.xml" Id="R4bce1875635f444a" /><Relationship Type="http://schemas.openxmlformats.org/officeDocument/2006/relationships/worksheet" Target="/xl/worksheets/sheet4.xml" Id="R1a8458a0904a4c58" /><Relationship Type="http://schemas.openxmlformats.org/officeDocument/2006/relationships/worksheet" Target="/xl/worksheets/sheet5.xml" Id="Rcf1f19a5e3994eae" /><Relationship Type="http://schemas.openxmlformats.org/officeDocument/2006/relationships/worksheet" Target="/xl/worksheets/sheet6.xml" Id="R76fe7bbc5d314a0d" /><Relationship Type="http://schemas.openxmlformats.org/officeDocument/2006/relationships/worksheet" Target="/xl/worksheets/sheet7.xml" Id="R528c8bf96a30412d" /></Relationships>
</file>

<file path=xl/tables/table1.xml><?xml version="1.0" encoding="utf-8"?>
<x:table xmlns:x="http://schemas.openxmlformats.org/spreadsheetml/2006/main" id="1" name="WeeklyPlan" displayName="WeeklyPlan" ref="A3:J51" headerRowCount="1" totalsRowCount="0" totalsRowShown="0">
  <x:tableColumns count="10">
    <x:tableColumn id="1" name="周"/>
    <x:tableColumn id="2" name="阶段"/>
    <x:tableColumn id="3" name="主题"/>
    <x:tableColumn id="4" name="学习内容"/>
    <x:tableColumn id="5" name="编码任务"/>
    <x:tableColumn id="6" name="日语任务"/>
    <x:tableColumn id="7" name="交付物"/>
    <x:tableColumn id="8" name="状态"/>
    <x:tableColumn id="9" name="预计小时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a0912563df48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34" hidden="0" customWidth="1"/>
    <x:col min="5" max="5" width="18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19.200000762939453" hidden="0" customHeight="1">
      <x:c r="A1" s="83" t="str">
        <x:v>从零基础到日本 Java 工程师学习计划</x:v>
      </x:c>
      <x:c r="B1" s="83" t="str">
        <x:v>从零基础到日本 Java 工程师学习计划</x:v>
      </x:c>
      <x:c r="C1" s="83" t="str">
        <x:v>从零基础到日本 Java 工程师学习计划</x:v>
      </x:c>
      <x:c r="D1" s="83" t="str">
        <x:v>从零基础到日本 Java 工程师学习计划</x:v>
      </x:c>
      <x:c r="E1" s="83" t="str">
        <x:v>从零基础到日本 Java 工程师学习计划</x:v>
      </x:c>
      <x:c r="F1" s="83" t="str">
        <x:v>从零基础到日本 Java 工程师学习计划</x:v>
      </x:c>
      <x:c r="G1" s="83" t="str">
        <x:v>从零基础到日本 Java 工程师学习计划</x:v>
      </x:c>
      <x:c r="H1" s="83" t="str">
        <x:v>从零基础到日本 Java 工程师学习计划</x:v>
      </x:c>
    </x:row>
    <x:row r="2" ht="15" hidden="0" customHeight="1">
      <x:c r="A2" s="84"/>
      <x:c r="B2" s="84"/>
      <x:c r="C2" s="84"/>
      <x:c r="D2" s="84"/>
      <x:c r="E2" s="84"/>
      <x:c r="F2" s="84"/>
      <x:c r="G2" s="84"/>
      <x:c r="H2" s="84"/>
    </x:row>
    <x:row r="3" ht="15" hidden="0" customHeight="1">
      <x:c r="A3" s="85" t="str">
        <x:v>目标</x:v>
      </x:c>
      <x:c r="B3" s="86" t="str">
        <x:v>周期</x:v>
      </x:c>
      <x:c r="C3" s="86" t="str">
        <x:v>每日建议</x:v>
      </x:c>
      <x:c r="D3" s="86" t="str">
        <x:v>核心技术</x:v>
      </x:c>
      <x:c r="E3" s="86" t="str">
        <x:v>日语目标</x:v>
      </x:c>
      <x:c r="F3" s="86" t="str">
        <x:v>项目目标</x:v>
      </x:c>
      <x:c r="G3" s="86" t="str">
        <x:v>求职目标</x:v>
      </x:c>
      <x:c r="H3" s="87" t="str">
        <x:v>使用方法</x:v>
      </x:c>
    </x:row>
    <x:row r="4" ht="39.599998474121094" hidden="0" customHeight="1">
      <x:c r="A4" s="88" t="str">
        <x:v>达到日本 Java 初级/初中级后端工程师可面试水平</x:v>
      </x:c>
      <x:c r="B4" s="89" t="str">
        <x:v>48 周，可按每天 3-5 小时调整</x:v>
      </x:c>
      <x:c r="C4" s="89" t="str">
        <x:v>学习 1-1.5h + 编码 1.5-3h + 日语 0.5-1h</x:v>
      </x:c>
      <x:c r="D4" s="89" t="str">
        <x:v>Java, SQL, Spring Boot, Git, Linux, Docker, Redis, JUnit</x:v>
      </x:c>
      <x:c r="E4" s="89" t="str">
        <x:v>建议 N2；最低 N3 + 能说明项目</x:v>
      </x:c>
      <x:c r="F4" s="89" t="str">
        <x:v>2-3 个可展示项目，至少 1 个日语业务系统</x:v>
      </x:c>
      <x:c r="G4" s="89" t="str">
        <x:v>简历、职务経歴書、GitHub、面试问答</x:v>
      </x:c>
      <x:c r="H4" s="90" t="str">
        <x:v>按周推进，在“48周计划”更新状态；“进度看板”自动统计</x:v>
      </x:c>
    </x:row>
    <x:row r="5" ht="15" hidden="0" customHeight="1">
      <x:c r="A5" s="84"/>
      <x:c r="B5" s="84"/>
      <x:c r="C5" s="84"/>
      <x:c r="D5" s="84"/>
      <x:c r="E5" s="84"/>
      <x:c r="F5" s="84"/>
      <x:c r="G5" s="84"/>
      <x:c r="H5" s="84"/>
    </x:row>
    <x:row r="6" ht="15" hidden="0" customHeight="1">
      <x:c r="A6" s="85" t="str">
        <x:v>阶段</x:v>
      </x:c>
      <x:c r="B6" s="86" t="str">
        <x:v>周数</x:v>
      </x:c>
      <x:c r="C6" s="86" t="str">
        <x:v>阶段目标</x:v>
      </x:c>
      <x:c r="D6" s="87" t="str">
        <x:v>验收标准</x:v>
      </x:c>
      <x:c r="E6" s="84"/>
      <x:c r="F6" s="85" t="str">
        <x:v>每周节奏</x:v>
      </x:c>
      <x:c r="G6" s="86" t="str">
        <x:v>建议时长</x:v>
      </x:c>
      <x:c r="H6" s="87" t="str">
        <x:v>输出</x:v>
      </x:c>
    </x:row>
    <x:row r="7" ht="15" hidden="0" customHeight="1">
      <x:c r="A7" s="91" t="str">
        <x:v>1. 编程与 Java 基础</x:v>
      </x:c>
      <x:c r="B7" s="92" t="str">
        <x:v>第 1-6 周</x:v>
      </x:c>
      <x:c r="C7" s="92" t="str">
        <x:v>掌握语法、面向对象、集合、异常、文件读写</x:v>
      </x:c>
      <x:c r="D7" s="93" t="str">
        <x:v>完成 80+ 练习和 1 个控制台小项目</x:v>
      </x:c>
      <x:c r="E7" s="84"/>
      <x:c r="F7" s="91" t="str">
        <x:v>学习新知识</x:v>
      </x:c>
      <x:c r="G7" s="92" t="str">
        <x:v>6-8h</x:v>
      </x:c>
      <x:c r="H7" s="93" t="str">
        <x:v>笔记 + 小练习</x:v>
      </x:c>
    </x:row>
    <x:row r="8" ht="26.399999618530273" hidden="0" customHeight="1">
      <x:c r="A8" s="94" t="str">
        <x:v>2. 数据库与 Web 基础</x:v>
      </x:c>
      <x:c r="B8" s="95" t="str">
        <x:v>第 7-10 周</x:v>
      </x:c>
      <x:c r="C8" s="95" t="str">
        <x:v>掌握 SQL、MySQL、HTTP、JSON、Postman</x:v>
      </x:c>
      <x:c r="D8" s="96" t="str">
        <x:v>能独立设计 5-8 张表并写常见查询</x:v>
      </x:c>
      <x:c r="E8" s="84"/>
      <x:c r="F8" s="94" t="str">
        <x:v>编码练习/项目</x:v>
      </x:c>
      <x:c r="G8" s="95" t="str">
        <x:v>10-15h</x:v>
      </x:c>
      <x:c r="H8" s="96" t="str">
        <x:v>可运行代码</x:v>
      </x:c>
    </x:row>
    <x:row r="9" ht="39.599998474121094" hidden="0" customHeight="1">
      <x:c r="A9" s="94" t="str">
        <x:v>3. Spring Boot 后端</x:v>
      </x:c>
      <x:c r="B9" s="95" t="str">
        <x:v>第 11-20 周</x:v>
      </x:c>
      <x:c r="C9" s="95" t="str">
        <x:v>完成 REST API、分层、MyBatis/JPA、校验、异常、日志、认证</x:v>
      </x:c>
      <x:c r="D9" s="96" t="str">
        <x:v>完成一个 CRUD 后台并部署本地运行</x:v>
      </x:c>
      <x:c r="E9" s="84"/>
      <x:c r="F9" s="94" t="str">
        <x:v>复盘整理</x:v>
      </x:c>
      <x:c r="G9" s="95" t="str">
        <x:v>1h</x:v>
      </x:c>
      <x:c r="H9" s="96" t="str">
        <x:v>README / 学习日志</x:v>
      </x:c>
    </x:row>
    <x:row r="10" ht="39.599998474121094" hidden="0" customHeight="1">
      <x:c r="A10" s="94" t="str">
        <x:v>4. 日本现场常用技术</x:v>
      </x:c>
      <x:c r="B10" s="95" t="str">
        <x:v>第 21-28 周</x:v>
      </x:c>
      <x:c r="C10" s="95" t="str">
        <x:v>补 Linux、Docker、Redis、JUnit、设计模式和排查能力</x:v>
      </x:c>
      <x:c r="D10" s="96" t="str">
        <x:v>能用 Docker 启动应用并写基础测试</x:v>
      </x:c>
      <x:c r="E10" s="84"/>
      <x:c r="F10" s="94" t="str">
        <x:v>日语</x:v>
      </x:c>
      <x:c r="G10" s="95" t="str">
        <x:v>4-7h</x:v>
      </x:c>
      <x:c r="H10" s="96" t="str">
        <x:v>技术词汇 + 自我介绍</x:v>
      </x:c>
    </x:row>
    <x:row r="11" ht="26.399999618530273" hidden="0" customHeight="1">
      <x:c r="A11" s="94" t="str">
        <x:v>5. 作品集项目</x:v>
      </x:c>
      <x:c r="B11" s="95" t="str">
        <x:v>第 29-40 周</x:v>
      </x:c>
      <x:c r="C11" s="95" t="str">
        <x:v>完成 2-3 个项目，重点做日语版勤怠管理系统</x:v>
      </x:c>
      <x:c r="D11" s="96" t="str">
        <x:v>GitHub README 清楚，接口和数据库设计可说明</x:v>
      </x:c>
      <x:c r="E11" s="84"/>
      <x:c r="F11" s="94" t="str">
        <x:v>面试题</x:v>
      </x:c>
      <x:c r="G11" s="95" t="str">
        <x:v>1-2h</x:v>
      </x:c>
      <x:c r="H11" s="96" t="str">
        <x:v>问答卡片</x:v>
      </x:c>
    </x:row>
    <x:row r="12" ht="26.399999618530273" hidden="0" customHeight="1">
      <x:c r="A12" s="97" t="str">
        <x:v>6. 求职冲刺</x:v>
      </x:c>
      <x:c r="B12" s="98" t="str">
        <x:v>第 41-48 周</x:v>
      </x:c>
      <x:c r="C12" s="98" t="str">
        <x:v>准备简历、职务経歴書、面试题、日语项目说明并投递</x:v>
      </x:c>
      <x:c r="D12" s="99" t="str">
        <x:v>每周投递并复盘，能中日双语讲项目</x:v>
      </x:c>
      <x:c r="E12" s="84"/>
      <x:c r="F12" s="97" t="str">
        <x:v>休息与补漏</x:v>
      </x:c>
      <x:c r="G12" s="98" t="str">
        <x:v>半天</x:v>
      </x:c>
      <x:c r="H12" s="99" t="str">
        <x:v>修复薄弱点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0" hidden="0" customWidth="1"/>
    <x:col min="4" max="4" width="36" hidden="0" customWidth="1"/>
    <x:col min="5" max="5" width="34" hidden="0" customWidth="1"/>
    <x:col min="6" max="6" width="24" hidden="0" customWidth="1"/>
    <x:col min="7" max="7" width="24" hidden="0" customWidth="1"/>
    <x:col min="8" max="8" width="12" hidden="0" customWidth="1"/>
    <x:col min="9" max="9" width="10" hidden="0" customWidth="1"/>
    <x:col min="10" max="10" width="24" hidden="0" customWidth="1"/>
  </x:cols>
  <x:sheetData>
    <x:row r="1" ht="19.200000762939453" hidden="0" customHeight="1">
      <x:c r="A1" s="83" t="str">
        <x:v>48 周学习执行表</x:v>
      </x:c>
      <x:c r="B1" s="83" t="str">
        <x:v>48 周学习执行表</x:v>
      </x:c>
      <x:c r="C1" s="83" t="str">
        <x:v>48 周学习执行表</x:v>
      </x:c>
      <x:c r="D1" s="83" t="str">
        <x:v>48 周学习执行表</x:v>
      </x:c>
      <x:c r="E1" s="83" t="str">
        <x:v>48 周学习执行表</x:v>
      </x:c>
      <x:c r="F1" s="83" t="str">
        <x:v>48 周学习执行表</x:v>
      </x:c>
      <x:c r="G1" s="83" t="str">
        <x:v>48 周学习执行表</x:v>
      </x:c>
      <x:c r="H1" s="83" t="str">
        <x:v>48 周学习执行表</x:v>
      </x:c>
      <x:c r="I1" s="83" t="str">
        <x:v>48 周学习执行表</x:v>
      </x:c>
      <x:c r="J1" s="83" t="str">
        <x:v>48 周学习执行表</x:v>
      </x:c>
    </x:row>
    <x:row r="2" ht="15" hidden="0" customHeight="1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15" hidden="0" customHeight="1">
      <x:c r="A3" s="85" t="str">
        <x:v>周</x:v>
      </x:c>
      <x:c r="B3" s="86" t="str">
        <x:v>阶段</x:v>
      </x:c>
      <x:c r="C3" s="86" t="str">
        <x:v>主题</x:v>
      </x:c>
      <x:c r="D3" s="86" t="str">
        <x:v>学习内容</x:v>
      </x:c>
      <x:c r="E3" s="86" t="str">
        <x:v>编码任务</x:v>
      </x:c>
      <x:c r="F3" s="86" t="str">
        <x:v>日语任务</x:v>
      </x:c>
      <x:c r="G3" s="86" t="str">
        <x:v>交付物</x:v>
      </x:c>
      <x:c r="H3" s="86" t="str">
        <x:v>状态</x:v>
      </x:c>
      <x:c r="I3" s="86" t="str">
        <x:v>预计小时</x:v>
      </x:c>
      <x:c r="J3" s="87" t="str">
        <x:v>备注</x:v>
      </x:c>
    </x:row>
    <x:row r="4" ht="15" hidden="0" customHeight="1">
      <x:c r="A4" s="91" t="n">
        <x:v>1</x:v>
      </x:c>
      <x:c r="B4" s="92" t="str">
        <x:v>Java基础</x:v>
      </x:c>
      <x:c r="C4" s="92" t="str">
        <x:v>环境搭建与命令行</x:v>
      </x:c>
      <x:c r="D4" s="92" t="str">
        <x:v>JDK, IntelliJ, 文件路径, 基础命令</x:v>
      </x:c>
      <x:c r="E4" s="92" t="str">
        <x:v>Hello World, 输入输出, 20 个语法练习</x:v>
      </x:c>
      <x:c r="F4" s="92" t="str">
        <x:v>每天 20 个 IT 日语词</x:v>
      </x:c>
      <x:c r="G4" s="92" t="str">
        <x:v>开发环境可用</x:v>
      </x:c>
      <x:c r="H4" s="115" t="str">
        <x:v>进行中</x:v>
      </x:c>
      <x:c r="I4" s="100" t="n">
        <x:v>18</x:v>
      </x:c>
      <x:c r="J4" s="93" t="str">
        <x:v>本周已启动：2026-07-02；目标是完成 Java 环境搭建、命令行入门和 20 个基础练习。</x:v>
      </x:c>
    </x:row>
    <x:row r="5" ht="15" hidden="0" customHeight="1">
      <x:c r="A5" s="94" t="n">
        <x:v>2</x:v>
      </x:c>
      <x:c r="B5" s="95" t="str">
        <x:v>Java基础</x:v>
      </x:c>
      <x:c r="C5" s="95" t="str">
        <x:v>变量、条件、循环</x:v>
      </x:c>
      <x:c r="D5" s="95" t="str">
        <x:v>变量类型, if, switch, for, while</x:v>
      </x:c>
      <x:c r="E5" s="95" t="str">
        <x:v>分支循环题 30 个</x:v>
      </x:c>
      <x:c r="F5" s="95" t="str">
        <x:v>自我介绍 1 分钟</x:v>
      </x:c>
      <x:c r="G5" s="95" t="str">
        <x:v>练习代码提交 GitHub</x:v>
      </x:c>
      <x:c r="H5" s="95" t="str">
        <x:v>未开始</x:v>
      </x:c>
      <x:c r="I5" s="101" t="n">
        <x:v>18</x:v>
      </x:c>
      <x:c r="J5" s="96" t="str"/>
    </x:row>
    <x:row r="6" ht="15" hidden="0" customHeight="1">
      <x:c r="A6" s="94" t="n">
        <x:v>3</x:v>
      </x:c>
      <x:c r="B6" s="95" t="str">
        <x:v>Java基础</x:v>
      </x:c>
      <x:c r="C6" s="95" t="str">
        <x:v>数组、方法、调试</x:v>
      </x:c>
      <x:c r="D6" s="95" t="str">
        <x:v>数组, 方法拆分, Debug</x:v>
      </x:c>
      <x:c r="E6" s="95" t="str">
        <x:v>数组与方法练习 30 个</x:v>
      </x:c>
      <x:c r="F6" s="95" t="str">
        <x:v>描述学习进度</x:v>
      </x:c>
      <x:c r="G6" s="95" t="str">
        <x:v>小型工具程序</x:v>
      </x:c>
      <x:c r="H6" s="95" t="str">
        <x:v>未开始</x:v>
      </x:c>
      <x:c r="I6" s="101" t="n">
        <x:v>18</x:v>
      </x:c>
      <x:c r="J6" s="96" t="str"/>
    </x:row>
    <x:row r="7" ht="15" hidden="0" customHeight="1">
      <x:c r="A7" s="94" t="n">
        <x:v>4</x:v>
      </x:c>
      <x:c r="B7" s="95" t="str">
        <x:v>Java基础</x:v>
      </x:c>
      <x:c r="C7" s="95" t="str">
        <x:v>面向对象</x:v>
      </x:c>
      <x:c r="D7" s="95" t="str">
        <x:v>类, 对象, 封装, 构造方法</x:v>
      </x:c>
      <x:c r="E7" s="95" t="str">
        <x:v>学生/图书实体建模</x:v>
      </x:c>
      <x:c r="F7" s="95" t="str">
        <x:v>类/对象日语词汇</x:v>
      </x:c>
      <x:c r="G7" s="95" t="str">
        <x:v>OOP 小练习</x:v>
      </x:c>
      <x:c r="H7" s="95" t="str">
        <x:v>未开始</x:v>
      </x:c>
      <x:c r="I7" s="101" t="n">
        <x:v>20</x:v>
      </x:c>
      <x:c r="J7" s="96" t="str"/>
    </x:row>
    <x:row r="8" ht="15" hidden="0" customHeight="1">
      <x:c r="A8" s="94" t="n">
        <x:v>5</x:v>
      </x:c>
      <x:c r="B8" s="95" t="str">
        <x:v>Java基础</x:v>
      </x:c>
      <x:c r="C8" s="95" t="str">
        <x:v>继承、接口、多态</x:v>
      </x:c>
      <x:c r="D8" s="95" t="str">
        <x:v>继承, 抽象类, 接口, 多态</x:v>
      </x:c>
      <x:c r="E8" s="95" t="str">
        <x:v>图书管理控制台版</x:v>
      </x:c>
      <x:c r="F8" s="95" t="str">
        <x:v>说明类之间关系</x:v>
      </x:c>
      <x:c r="G8" s="95" t="str">
        <x:v>控制台项目 v1</x:v>
      </x:c>
      <x:c r="H8" s="95" t="str">
        <x:v>未开始</x:v>
      </x:c>
      <x:c r="I8" s="101" t="n">
        <x:v>20</x:v>
      </x:c>
      <x:c r="J8" s="96" t="str"/>
    </x:row>
    <x:row r="9" ht="15" hidden="0" customHeight="1">
      <x:c r="A9" s="94" t="n">
        <x:v>6</x:v>
      </x:c>
      <x:c r="B9" s="95" t="str">
        <x:v>Java基础</x:v>
      </x:c>
      <x:c r="C9" s="95" t="str">
        <x:v>集合、异常、文件</x:v>
      </x:c>
      <x:c r="D9" s="95" t="str">
        <x:v>List, Map, Set, Exception, 文件读写</x:v>
      </x:c>
      <x:c r="E9" s="95" t="str">
        <x:v>控制台项目加入保存/读取</x:v>
      </x:c>
      <x:c r="F9" s="95" t="str">
        <x:v>项目日语 README 初稿</x:v>
      </x:c>
      <x:c r="G9" s="95" t="str">
        <x:v>控制台项目完成</x:v>
      </x:c>
      <x:c r="H9" s="95" t="str">
        <x:v>未开始</x:v>
      </x:c>
      <x:c r="I9" s="101" t="n">
        <x:v>22</x:v>
      </x:c>
      <x:c r="J9" s="96" t="str"/>
    </x:row>
    <x:row r="10" ht="15" hidden="0" customHeight="1">
      <x:c r="A10" s="94" t="n">
        <x:v>7</x:v>
      </x:c>
      <x:c r="B10" s="95" t="str">
        <x:v>数据库Web</x:v>
      </x:c>
      <x:c r="C10" s="95" t="str">
        <x:v>SQL 基础</x:v>
      </x:c>
      <x:c r="D10" s="95" t="str">
        <x:v>建表, CRUD, where, order by, group by</x:v>
      </x:c>
      <x:c r="E10" s="95" t="str">
        <x:v>用户/商品/订单表练习</x:v>
      </x:c>
      <x:c r="F10" s="95" t="str">
        <x:v>数据库词汇</x:v>
      </x:c>
      <x:c r="G10" s="95" t="str">
        <x:v>SQL 练习 50 条</x:v>
      </x:c>
      <x:c r="H10" s="95" t="str">
        <x:v>未开始</x:v>
      </x:c>
      <x:c r="I10" s="101" t="n">
        <x:v>18</x:v>
      </x:c>
      <x:c r="J10" s="96" t="str"/>
    </x:row>
    <x:row r="11" ht="15" hidden="0" customHeight="1">
      <x:c r="A11" s="94" t="n">
        <x:v>8</x:v>
      </x:c>
      <x:c r="B11" s="95" t="str">
        <x:v>数据库Web</x:v>
      </x:c>
      <x:c r="C11" s="95" t="str">
        <x:v>关联查询与表设计</x:v>
      </x:c>
      <x:c r="D11" s="95" t="str">
        <x:v>JOIN, 主外键, 索引基础</x:v>
      </x:c>
      <x:c r="E11" s="95" t="str">
        <x:v>设计留言板数据库</x:v>
      </x:c>
      <x:c r="F11" s="95" t="str">
        <x:v>说明 ER 关系</x:v>
      </x:c>
      <x:c r="G11" s="95" t="str">
        <x:v>数据库设计文档</x:v>
      </x:c>
      <x:c r="H11" s="95" t="str">
        <x:v>未开始</x:v>
      </x:c>
      <x:c r="I11" s="101" t="n">
        <x:v>18</x:v>
      </x:c>
      <x:c r="J11" s="96" t="str"/>
    </x:row>
    <x:row r="12" ht="15" hidden="0" customHeight="1">
      <x:c r="A12" s="94" t="n">
        <x:v>9</x:v>
      </x:c>
      <x:c r="B12" s="95" t="str">
        <x:v>数据库Web</x:v>
      </x:c>
      <x:c r="C12" s="95" t="str">
        <x:v>HTTP 与 JSON</x:v>
      </x:c>
      <x:c r="D12" s="95" t="str">
        <x:v>请求响应, 状态码, REST, Postman</x:v>
      </x:c>
      <x:c r="E12" s="95" t="str">
        <x:v>用 Mock 数据测试接口思路</x:v>
      </x:c>
      <x:c r="F12" s="95" t="str">
        <x:v>请求/响应表达</x:v>
      </x:c>
      <x:c r="G12" s="95" t="str">
        <x:v>接口清单</x:v>
      </x:c>
      <x:c r="H12" s="95" t="str">
        <x:v>未开始</x:v>
      </x:c>
      <x:c r="I12" s="101" t="n">
        <x:v>16</x:v>
      </x:c>
      <x:c r="J12" s="96" t="str"/>
    </x:row>
    <x:row r="13" ht="15" hidden="0" customHeight="1">
      <x:c r="A13" s="94" t="n">
        <x:v>10</x:v>
      </x:c>
      <x:c r="B13" s="95" t="str">
        <x:v>数据库Web</x:v>
      </x:c>
      <x:c r="C13" s="95" t="str">
        <x:v>前端基础了解</x:v>
      </x:c>
      <x:c r="D13" s="95" t="str">
        <x:v>HTML, CSS, JS 基础, 表单</x:v>
      </x:c>
      <x:c r="E13" s="95" t="str">
        <x:v>做简单页面调用假接口</x:v>
      </x:c>
      <x:c r="F13" s="95" t="str">
        <x:v>页面词汇</x:v>
      </x:c>
      <x:c r="G13" s="95" t="str">
        <x:v>留言板原型</x:v>
      </x:c>
      <x:c r="H13" s="95" t="str">
        <x:v>未开始</x:v>
      </x:c>
      <x:c r="I13" s="101" t="n">
        <x:v>16</x:v>
      </x:c>
      <x:c r="J13" s="96" t="str"/>
    </x:row>
    <x:row r="14" ht="15" hidden="0" customHeight="1">
      <x:c r="A14" s="94" t="n">
        <x:v>11</x:v>
      </x:c>
      <x:c r="B14" s="95" t="str">
        <x:v>Spring Boot</x:v>
      </x:c>
      <x:c r="C14" s="95" t="str">
        <x:v>Maven 与项目结构</x:v>
      </x:c>
      <x:c r="D14" s="95" t="str">
        <x:v>Maven, pom, Spring Boot 启动</x:v>
      </x:c>
      <x:c r="E14" s="95" t="str">
        <x:v>创建第一个后端项目</x:v>
      </x:c>
      <x:c r="F14" s="95" t="str">
        <x:v>描述项目结构</x:v>
      </x:c>
      <x:c r="G14" s="95" t="str">
        <x:v>Hello API</x:v>
      </x:c>
      <x:c r="H14" s="95" t="str">
        <x:v>未开始</x:v>
      </x:c>
      <x:c r="I14" s="101" t="n">
        <x:v>20</x:v>
      </x:c>
      <x:c r="J14" s="96" t="str"/>
    </x:row>
    <x:row r="15" ht="15" hidden="0" customHeight="1">
      <x:c r="A15" s="94" t="n">
        <x:v>12</x:v>
      </x:c>
      <x:c r="B15" s="95" t="str">
        <x:v>Spring Boot</x:v>
      </x:c>
      <x:c r="C15" s="95" t="str">
        <x:v>Controller 与 REST</x:v>
      </x:c>
      <x:c r="D15" s="95" t="str">
        <x:v>GET/POST/PUT/DELETE, DTO</x:v>
      </x:c>
      <x:c r="E15" s="95" t="str">
        <x:v>用户 CRUD 接口</x:v>
      </x:c>
      <x:c r="F15" s="95" t="str">
        <x:v>接口说明日语句型</x:v>
      </x:c>
      <x:c r="G15" s="95" t="str">
        <x:v>用户接口可测试</x:v>
      </x:c>
      <x:c r="H15" s="95" t="str">
        <x:v>未开始</x:v>
      </x:c>
      <x:c r="I15" s="101" t="n">
        <x:v>22</x:v>
      </x:c>
      <x:c r="J15" s="96" t="str"/>
    </x:row>
    <x:row r="16" ht="15" hidden="0" customHeight="1">
      <x:c r="A16" s="94" t="n">
        <x:v>13</x:v>
      </x:c>
      <x:c r="B16" s="95" t="str">
        <x:v>Spring Boot</x:v>
      </x:c>
      <x:c r="C16" s="95" t="str">
        <x:v>数据库连接</x:v>
      </x:c>
      <x:c r="D16" s="95" t="str">
        <x:v>MyBatis 或 JPA, DataSource</x:v>
      </x:c>
      <x:c r="E16" s="95" t="str">
        <x:v>用户表持久化</x:v>
      </x:c>
      <x:c r="F16" s="95" t="str">
        <x:v>DB 接続/検索/登録</x:v>
      </x:c>
      <x:c r="G16" s="95" t="str">
        <x:v>数据库版 CRUD</x:v>
      </x:c>
      <x:c r="H16" s="95" t="str">
        <x:v>未开始</x:v>
      </x:c>
      <x:c r="I16" s="101" t="n">
        <x:v>22</x:v>
      </x:c>
      <x:c r="J16" s="96" t="str"/>
    </x:row>
    <x:row r="17" ht="15" hidden="0" customHeight="1">
      <x:c r="A17" s="94" t="n">
        <x:v>14</x:v>
      </x:c>
      <x:c r="B17" s="95" t="str">
        <x:v>Spring Boot</x:v>
      </x:c>
      <x:c r="C17" s="95" t="str">
        <x:v>分层架构</x:v>
      </x:c>
      <x:c r="D17" s="95" t="str">
        <x:v>Controller, Service, Mapper/Repository</x:v>
      </x:c>
      <x:c r="E17" s="95" t="str">
        <x:v>重构为三层结构</x:v>
      </x:c>
      <x:c r="F17" s="95" t="str">
        <x:v>职责说明</x:v>
      </x:c>
      <x:c r="G17" s="95" t="str">
        <x:v>代码结构清晰</x:v>
      </x:c>
      <x:c r="H17" s="95" t="str">
        <x:v>未开始</x:v>
      </x:c>
      <x:c r="I17" s="101" t="n">
        <x:v>20</x:v>
      </x:c>
      <x:c r="J17" s="96" t="str"/>
    </x:row>
    <x:row r="18" ht="15" hidden="0" customHeight="1">
      <x:c r="A18" s="94" t="n">
        <x:v>15</x:v>
      </x:c>
      <x:c r="B18" s="95" t="str">
        <x:v>Spring Boot</x:v>
      </x:c>
      <x:c r="C18" s="95" t="str">
        <x:v>参数校验与异常</x:v>
      </x:c>
      <x:c r="D18" s="95" t="str">
        <x:v>Validation, 全局异常, 错误码</x:v>
      </x:c>
      <x:c r="E18" s="95" t="str">
        <x:v>统一返回格式</x:v>
      </x:c>
      <x:c r="F18" s="95" t="str">
        <x:v>错误说明表达</x:v>
      </x:c>
      <x:c r="G18" s="95" t="str">
        <x:v>错误处理完善</x:v>
      </x:c>
      <x:c r="H18" s="95" t="str">
        <x:v>未开始</x:v>
      </x:c>
      <x:c r="I18" s="101" t="n">
        <x:v>20</x:v>
      </x:c>
      <x:c r="J18" s="96" t="str"/>
    </x:row>
    <x:row r="19" ht="15" hidden="0" customHeight="1">
      <x:c r="A19" s="94" t="n">
        <x:v>16</x:v>
      </x:c>
      <x:c r="B19" s="95" t="str">
        <x:v>Spring Boot</x:v>
      </x:c>
      <x:c r="C19" s="95" t="str">
        <x:v>分页搜索与排序</x:v>
      </x:c>
      <x:c r="D19" s="95" t="str">
        <x:v>分页参数, 条件查询</x:v>
      </x:c>
      <x:c r="E19" s="95" t="str">
        <x:v>员工管理分页搜索</x:v>
      </x:c>
      <x:c r="F19" s="95" t="str">
        <x:v>検索条件/ページング</x:v>
      </x:c>
      <x:c r="G19" s="95" t="str">
        <x:v>后台列表页接口</x:v>
      </x:c>
      <x:c r="H19" s="95" t="str">
        <x:v>未开始</x:v>
      </x:c>
      <x:c r="I19" s="101" t="n">
        <x:v>22</x:v>
      </x:c>
      <x:c r="J19" s="96" t="str"/>
    </x:row>
    <x:row r="20" ht="15" hidden="0" customHeight="1">
      <x:c r="A20" s="94" t="n">
        <x:v>17</x:v>
      </x:c>
      <x:c r="B20" s="95" t="str">
        <x:v>Spring Boot</x:v>
      </x:c>
      <x:c r="C20" s="95" t="str">
        <x:v>登录认证</x:v>
      </x:c>
      <x:c r="D20" s="95" t="str">
        <x:v>Session/JWT 基础, 密码加密</x:v>
      </x:c>
      <x:c r="E20" s="95" t="str">
        <x:v>登录注册和 JWT</x:v>
      </x:c>
      <x:c r="F20" s="95" t="str">
        <x:v>ログイン/権限</x:v>
      </x:c>
      <x:c r="G20" s="95" t="str">
        <x:v>登录功能</x:v>
      </x:c>
      <x:c r="H20" s="95" t="str">
        <x:v>未开始</x:v>
      </x:c>
      <x:c r="I20" s="101" t="n">
        <x:v>24</x:v>
      </x:c>
      <x:c r="J20" s="96" t="str"/>
    </x:row>
    <x:row r="21" ht="15" hidden="0" customHeight="1">
      <x:c r="A21" s="94" t="n">
        <x:v>18</x:v>
      </x:c>
      <x:c r="B21" s="95" t="str">
        <x:v>Spring Boot</x:v>
      </x:c>
      <x:c r="C21" s="95" t="str">
        <x:v>权限控制</x:v>
      </x:c>
      <x:c r="D21" s="95" t="str">
        <x:v>角色, 拦截器/过滤器</x:v>
      </x:c>
      <x:c r="E21" s="95" t="str">
        <x:v>管理员/普通用户权限</x:v>
      </x:c>
      <x:c r="F21" s="95" t="str">
        <x:v>権限管理说明</x:v>
      </x:c>
      <x:c r="G21" s="95" t="str">
        <x:v>权限 demo</x:v>
      </x:c>
      <x:c r="H21" s="95" t="str">
        <x:v>未开始</x:v>
      </x:c>
      <x:c r="I21" s="101" t="n">
        <x:v>24</x:v>
      </x:c>
      <x:c r="J21" s="96" t="str"/>
    </x:row>
    <x:row r="22" ht="15" hidden="0" customHeight="1">
      <x:c r="A22" s="94" t="n">
        <x:v>19</x:v>
      </x:c>
      <x:c r="B22" s="95" t="str">
        <x:v>Spring Boot</x:v>
      </x:c>
      <x:c r="C22" s="95" t="str">
        <x:v>日志与接口文档</x:v>
      </x:c>
      <x:c r="D22" s="95" t="str">
        <x:v>Logback, Swagger/OpenAPI</x:v>
      </x:c>
      <x:c r="E22" s="95" t="str">
        <x:v>加入日志和接口文档</x:v>
      </x:c>
      <x:c r="F22" s="95" t="str">
        <x:v>ログ調査表达</x:v>
      </x:c>
      <x:c r="G22" s="95" t="str">
        <x:v>可阅读接口文档</x:v>
      </x:c>
      <x:c r="H22" s="95" t="str">
        <x:v>未开始</x:v>
      </x:c>
      <x:c r="I22" s="101" t="n">
        <x:v>18</x:v>
      </x:c>
      <x:c r="J22" s="96" t="str"/>
    </x:row>
    <x:row r="23" ht="15" hidden="0" customHeight="1">
      <x:c r="A23" s="94" t="n">
        <x:v>20</x:v>
      </x:c>
      <x:c r="B23" s="95" t="str">
        <x:v>Spring Boot</x:v>
      </x:c>
      <x:c r="C23" s="95" t="str">
        <x:v>CRUD 项目收尾</x:v>
      </x:c>
      <x:c r="D23" s="95" t="str">
        <x:v>测试、修 bug、README</x:v>
      </x:c>
      <x:c r="E23" s="95" t="str">
        <x:v>任务/员工管理系统 v1</x:v>
      </x:c>
      <x:c r="F23" s="95" t="str">
        <x:v>项目说明 3 分钟</x:v>
      </x:c>
      <x:c r="G23" s="95" t="str">
        <x:v>完整 Spring 项目</x:v>
      </x:c>
      <x:c r="H23" s="95" t="str">
        <x:v>未开始</x:v>
      </x:c>
      <x:c r="I23" s="101" t="n">
        <x:v>24</x:v>
      </x:c>
      <x:c r="J23" s="96" t="str"/>
    </x:row>
    <x:row r="24" ht="15" hidden="0" customHeight="1">
      <x:c r="A24" s="94" t="n">
        <x:v>21</x:v>
      </x:c>
      <x:c r="B24" s="95" t="str">
        <x:v>现场技术</x:v>
      </x:c>
      <x:c r="C24" s="95" t="str">
        <x:v>Git 深入</x:v>
      </x:c>
      <x:c r="D24" s="95" t="str">
        <x:v>branch, merge, conflict, PR 流程</x:v>
      </x:c>
      <x:c r="E24" s="95" t="str">
        <x:v>模拟分支开发</x:v>
      </x:c>
      <x:c r="F24" s="95" t="str">
        <x:v>レビュー/修正</x:v>
      </x:c>
      <x:c r="G24" s="95" t="str">
        <x:v>Git 流程练习</x:v>
      </x:c>
      <x:c r="H24" s="95" t="str">
        <x:v>未开始</x:v>
      </x:c>
      <x:c r="I24" s="101" t="n">
        <x:v>14</x:v>
      </x:c>
      <x:c r="J24" s="96" t="str"/>
    </x:row>
    <x:row r="25" ht="15" hidden="0" customHeight="1">
      <x:c r="A25" s="94" t="n">
        <x:v>22</x:v>
      </x:c>
      <x:c r="B25" s="95" t="str">
        <x:v>现场技术</x:v>
      </x:c>
      <x:c r="C25" s="95" t="str">
        <x:v>Linux 基础</x:v>
      </x:c>
      <x:c r="D25" s="95" t="str">
        <x:v>目录, 权限, 进程, 日志查看</x:v>
      </x:c>
      <x:c r="E25" s="95" t="str">
        <x:v>在 Linux 命令行运行 jar</x:v>
      </x:c>
      <x:c r="F25" s="95" t="str">
        <x:v>常用命令日语</x:v>
      </x:c>
      <x:c r="G25" s="95" t="str">
        <x:v>Linux 操作清单</x:v>
      </x:c>
      <x:c r="H25" s="95" t="str">
        <x:v>未开始</x:v>
      </x:c>
      <x:c r="I25" s="101" t="n">
        <x:v>18</x:v>
      </x:c>
      <x:c r="J25" s="96" t="str"/>
    </x:row>
    <x:row r="26" ht="15" hidden="0" customHeight="1">
      <x:c r="A26" s="94" t="n">
        <x:v>23</x:v>
      </x:c>
      <x:c r="B26" s="95" t="str">
        <x:v>现场技术</x:v>
      </x:c>
      <x:c r="C26" s="95" t="str">
        <x:v>Docker 基础</x:v>
      </x:c>
      <x:c r="D26" s="95" t="str">
        <x:v>Dockerfile, compose, image, container</x:v>
      </x:c>
      <x:c r="E26" s="95" t="str">
        <x:v>容器化 Spring + MySQL</x:v>
      </x:c>
      <x:c r="F26" s="95" t="str">
        <x:v>コンテナ相关词</x:v>
      </x:c>
      <x:c r="G26" s="95" t="str">
        <x:v>Docker 启动项目</x:v>
      </x:c>
      <x:c r="H26" s="95" t="str">
        <x:v>未开始</x:v>
      </x:c>
      <x:c r="I26" s="101" t="n">
        <x:v>22</x:v>
      </x:c>
      <x:c r="J26" s="96" t="str"/>
    </x:row>
    <x:row r="27" ht="15" hidden="0" customHeight="1">
      <x:c r="A27" s="94" t="n">
        <x:v>24</x:v>
      </x:c>
      <x:c r="B27" s="95" t="str">
        <x:v>现场技术</x:v>
      </x:c>
      <x:c r="C27" s="95" t="str">
        <x:v>Redis 基础</x:v>
      </x:c>
      <x:c r="D27" s="95" t="str">
        <x:v>缓存, key 设计, 过期时间</x:v>
      </x:c>
      <x:c r="E27" s="95" t="str">
        <x:v>给查询接口加缓存</x:v>
      </x:c>
      <x:c r="F27" s="95" t="str">
        <x:v>キャッシュ说明</x:v>
      </x:c>
      <x:c r="G27" s="95" t="str">
        <x:v>Redis demo</x:v>
      </x:c>
      <x:c r="H27" s="95" t="str">
        <x:v>未开始</x:v>
      </x:c>
      <x:c r="I27" s="101" t="n">
        <x:v>18</x:v>
      </x:c>
      <x:c r="J27" s="96" t="str"/>
    </x:row>
    <x:row r="28" ht="15" hidden="0" customHeight="1">
      <x:c r="A28" s="94" t="n">
        <x:v>25</x:v>
      </x:c>
      <x:c r="B28" s="95" t="str">
        <x:v>现场技术</x:v>
      </x:c>
      <x:c r="C28" s="95" t="str">
        <x:v>JUnit 测试</x:v>
      </x:c>
      <x:c r="D28" s="95" t="str">
        <x:v>单元测试, Mock, 覆盖核心 Service</x:v>
      </x:c>
      <x:c r="E28" s="95" t="str">
        <x:v>给项目补 10 个测试</x:v>
      </x:c>
      <x:c r="F28" s="95" t="str">
        <x:v>単体テスト表达</x:v>
      </x:c>
      <x:c r="G28" s="95" t="str">
        <x:v>测试报告</x:v>
      </x:c>
      <x:c r="H28" s="95" t="str">
        <x:v>未开始</x:v>
      </x:c>
      <x:c r="I28" s="101" t="n">
        <x:v>20</x:v>
      </x:c>
      <x:c r="J28" s="96" t="str"/>
    </x:row>
    <x:row r="29" ht="15" hidden="0" customHeight="1">
      <x:c r="A29" s="94" t="n">
        <x:v>26</x:v>
      </x:c>
      <x:c r="B29" s="95" t="str">
        <x:v>现场技术</x:v>
      </x:c>
      <x:c r="C29" s="95" t="str">
        <x:v>Java 核心补强</x:v>
      </x:c>
      <x:c r="D29" s="95" t="str">
        <x:v>集合原理, 泛型, Stream</x:v>
      </x:c>
      <x:c r="E29" s="95" t="str">
        <x:v>重写集合/Stream 练习</x:v>
      </x:c>
      <x:c r="F29" s="95" t="str">
        <x:v>技术问答词汇</x:v>
      </x:c>
      <x:c r="G29" s="95" t="str">
        <x:v>Java 核心笔记</x:v>
      </x:c>
      <x:c r="H29" s="95" t="str">
        <x:v>未开始</x:v>
      </x:c>
      <x:c r="I29" s="101" t="n">
        <x:v>18</x:v>
      </x:c>
      <x:c r="J29" s="96" t="str"/>
    </x:row>
    <x:row r="30" ht="15" hidden="0" customHeight="1">
      <x:c r="A30" s="94" t="n">
        <x:v>27</x:v>
      </x:c>
      <x:c r="B30" s="95" t="str">
        <x:v>现场技术</x:v>
      </x:c>
      <x:c r="C30" s="95" t="str">
        <x:v>并发与 JVM 基础</x:v>
      </x:c>
      <x:c r="D30" s="95" t="str">
        <x:v>线程, 线程池, JVM 内存概念</x:v>
      </x:c>
      <x:c r="E30" s="95" t="str">
        <x:v>简单异步任务 demo</x:v>
      </x:c>
      <x:c r="F30" s="95" t="str">
        <x:v>障害/原因調査</x:v>
      </x:c>
      <x:c r="G30" s="95" t="str">
        <x:v>并发与 JVM 笔记</x:v>
      </x:c>
      <x:c r="H30" s="95" t="str">
        <x:v>未开始</x:v>
      </x:c>
      <x:c r="I30" s="101" t="n">
        <x:v>18</x:v>
      </x:c>
      <x:c r="J30" s="96" t="str"/>
    </x:row>
    <x:row r="31" ht="15" hidden="0" customHeight="1">
      <x:c r="A31" s="94" t="n">
        <x:v>28</x:v>
      </x:c>
      <x:c r="B31" s="95" t="str">
        <x:v>现场技术</x:v>
      </x:c>
      <x:c r="C31" s="95" t="str">
        <x:v>设计模式与代码规范</x:v>
      </x:c>
      <x:c r="D31" s="95" t="str">
        <x:v>单例, 策略, 工厂, Clean Code</x:v>
      </x:c>
      <x:c r="E31" s="95" t="str">
        <x:v>重构项目一处逻辑</x:v>
      </x:c>
      <x:c r="F31" s="95" t="str">
        <x:v>設計/実装方針</x:v>
      </x:c>
      <x:c r="G31" s="95" t="str">
        <x:v>重构记录</x:v>
      </x:c>
      <x:c r="H31" s="95" t="str">
        <x:v>未开始</x:v>
      </x:c>
      <x:c r="I31" s="101" t="n">
        <x:v>16</x:v>
      </x:c>
      <x:c r="J31" s="96" t="str"/>
    </x:row>
    <x:row r="32" ht="15" hidden="0" customHeight="1">
      <x:c r="A32" s="94" t="n">
        <x:v>29</x:v>
      </x:c>
      <x:c r="B32" s="95" t="str">
        <x:v>作品集</x:v>
      </x:c>
      <x:c r="C32" s="95" t="str">
        <x:v>项目1 规划</x:v>
      </x:c>
      <x:c r="D32" s="95" t="str">
        <x:v>选择勤怠/员工/库存系统, 需求拆解</x:v>
      </x:c>
      <x:c r="E32" s="95" t="str">
        <x:v>写需求与表设计</x:v>
      </x:c>
      <x:c r="F32" s="95" t="str">
        <x:v>要件定義词汇</x:v>
      </x:c>
      <x:c r="G32" s="95" t="str">
        <x:v>项目企划书</x:v>
      </x:c>
      <x:c r="H32" s="95" t="str">
        <x:v>未开始</x:v>
      </x:c>
      <x:c r="I32" s="101" t="n">
        <x:v>18</x:v>
      </x:c>
      <x:c r="J32" s="96" t="str"/>
    </x:row>
    <x:row r="33" ht="15" hidden="0" customHeight="1">
      <x:c r="A33" s="94" t="n">
        <x:v>30</x:v>
      </x:c>
      <x:c r="B33" s="95" t="str">
        <x:v>作品集</x:v>
      </x:c>
      <x:c r="C33" s="95" t="str">
        <x:v>项目1 基础功能</x:v>
      </x:c>
      <x:c r="D33" s="95" t="str">
        <x:v>登录, 员工, 部门, 基础 CRUD</x:v>
      </x:c>
      <x:c r="E33" s="95" t="str">
        <x:v>完成核心表和接口</x:v>
      </x:c>
      <x:c r="F33" s="95" t="str">
        <x:v>基本設計说明</x:v>
      </x:c>
      <x:c r="G33" s="95" t="str">
        <x:v>项目1 v0.1</x:v>
      </x:c>
      <x:c r="H33" s="95" t="str">
        <x:v>未开始</x:v>
      </x:c>
      <x:c r="I33" s="101" t="n">
        <x:v>24</x:v>
      </x:c>
      <x:c r="J33" s="96" t="str"/>
    </x:row>
    <x:row r="34" ht="15" hidden="0" customHeight="1">
      <x:c r="A34" s="94" t="n">
        <x:v>31</x:v>
      </x:c>
      <x:c r="B34" s="95" t="str">
        <x:v>作品集</x:v>
      </x:c>
      <x:c r="C34" s="95" t="str">
        <x:v>项目1 业务流程</x:v>
      </x:c>
      <x:c r="D34" s="95" t="str">
        <x:v>勤怠登记, 休假申请, 审批</x:v>
      </x:c>
      <x:c r="E34" s="95" t="str">
        <x:v>完成主要流程</x:v>
      </x:c>
      <x:c r="F34" s="95" t="str">
        <x:v>承認フロー表达</x:v>
      </x:c>
      <x:c r="G34" s="95" t="str">
        <x:v>项目1 v0.5</x:v>
      </x:c>
      <x:c r="H34" s="95" t="str">
        <x:v>未开始</x:v>
      </x:c>
      <x:c r="I34" s="101" t="n">
        <x:v>26</x:v>
      </x:c>
      <x:c r="J34" s="96" t="str"/>
    </x:row>
    <x:row r="35" ht="15" hidden="0" customHeight="1">
      <x:c r="A35" s="94" t="n">
        <x:v>32</x:v>
      </x:c>
      <x:c r="B35" s="95" t="str">
        <x:v>作品集</x:v>
      </x:c>
      <x:c r="C35" s="95" t="str">
        <x:v>项目1 完善</x:v>
      </x:c>
      <x:c r="D35" s="95" t="str">
        <x:v>分页搜索, 校验, 异常, 日志</x:v>
      </x:c>
      <x:c r="E35" s="95" t="str">
        <x:v>修 bug 并补 README</x:v>
      </x:c>
      <x:c r="F35" s="95" t="str">
        <x:v>README 日语化</x:v>
      </x:c>
      <x:c r="G35" s="95" t="str">
        <x:v>项目1 可展示</x:v>
      </x:c>
      <x:c r="H35" s="95" t="str">
        <x:v>未开始</x:v>
      </x:c>
      <x:c r="I35" s="101" t="n">
        <x:v>24</x:v>
      </x:c>
      <x:c r="J35" s="96" t="str"/>
    </x:row>
    <x:row r="36" ht="15" hidden="0" customHeight="1">
      <x:c r="A36" s="94" t="n">
        <x:v>33</x:v>
      </x:c>
      <x:c r="B36" s="95" t="str">
        <x:v>作品集</x:v>
      </x:c>
      <x:c r="C36" s="95" t="str">
        <x:v>项目2 规划</x:v>
      </x:c>
      <x:c r="D36" s="95" t="str">
        <x:v>在线考试/任务协作/电商后台</x:v>
      </x:c>
      <x:c r="E36" s="95" t="str">
        <x:v>需求、数据库、接口设计</x:v>
      </x:c>
      <x:c r="F36" s="95" t="str">
        <x:v>项目介绍日语</x:v>
      </x:c>
      <x:c r="G36" s="95" t="str">
        <x:v>项目2 设计文档</x:v>
      </x:c>
      <x:c r="H36" s="95" t="str">
        <x:v>未开始</x:v>
      </x:c>
      <x:c r="I36" s="101" t="n">
        <x:v>18</x:v>
      </x:c>
      <x:c r="J36" s="96" t="str"/>
    </x:row>
    <x:row r="37" ht="15" hidden="0" customHeight="1">
      <x:c r="A37" s="94" t="n">
        <x:v>34</x:v>
      </x:c>
      <x:c r="B37" s="95" t="str">
        <x:v>作品集</x:v>
      </x:c>
      <x:c r="C37" s="95" t="str">
        <x:v>项目2 核心功能</x:v>
      </x:c>
      <x:c r="D37" s="95" t="str">
        <x:v>多表关联, 角色权限</x:v>
      </x:c>
      <x:c r="E37" s="95" t="str">
        <x:v>完成核心接口</x:v>
      </x:c>
      <x:c r="F37" s="95" t="str">
        <x:v>複数テーブル说明</x:v>
      </x:c>
      <x:c r="G37" s="95" t="str">
        <x:v>项目2 v0.3</x:v>
      </x:c>
      <x:c r="H37" s="95" t="str">
        <x:v>未开始</x:v>
      </x:c>
      <x:c r="I37" s="101" t="n">
        <x:v>24</x:v>
      </x:c>
      <x:c r="J37" s="96" t="str"/>
    </x:row>
    <x:row r="38" ht="15" hidden="0" customHeight="1">
      <x:c r="A38" s="94" t="n">
        <x:v>35</x:v>
      </x:c>
      <x:c r="B38" s="95" t="str">
        <x:v>作品集</x:v>
      </x:c>
      <x:c r="C38" s="95" t="str">
        <x:v>项目2 进阶功能</x:v>
      </x:c>
      <x:c r="D38" s="95" t="str">
        <x:v>文件上传, Redis, 统计接口</x:v>
      </x:c>
      <x:c r="E38" s="95" t="str">
        <x:v>加入加分功能</x:v>
      </x:c>
      <x:c r="F38" s="95" t="str">
        <x:v>機能追加表达</x:v>
      </x:c>
      <x:c r="G38" s="95" t="str">
        <x:v>项目2 v0.7</x:v>
      </x:c>
      <x:c r="H38" s="95" t="str">
        <x:v>未开始</x:v>
      </x:c>
      <x:c r="I38" s="101" t="n">
        <x:v>24</x:v>
      </x:c>
      <x:c r="J38" s="96" t="str"/>
    </x:row>
    <x:row r="39" ht="15" hidden="0" customHeight="1">
      <x:c r="A39" s="94" t="n">
        <x:v>36</x:v>
      </x:c>
      <x:c r="B39" s="95" t="str">
        <x:v>作品集</x:v>
      </x:c>
      <x:c r="C39" s="95" t="str">
        <x:v>项目2 收尾</x:v>
      </x:c>
      <x:c r="D39" s="95" t="str">
        <x:v>Docker, 测试, README</x:v>
      </x:c>
      <x:c r="E39" s="95" t="str">
        <x:v>部署说明和测试</x:v>
      </x:c>
      <x:c r="F39" s="95" t="str">
        <x:v>テスト仕様说明</x:v>
      </x:c>
      <x:c r="G39" s="95" t="str">
        <x:v>项目2 可展示</x:v>
      </x:c>
      <x:c r="H39" s="95" t="str">
        <x:v>未开始</x:v>
      </x:c>
      <x:c r="I39" s="101" t="n">
        <x:v>22</x:v>
      </x:c>
      <x:c r="J39" s="96" t="str"/>
    </x:row>
    <x:row r="40" ht="15" hidden="0" customHeight="1">
      <x:c r="A40" s="94" t="n">
        <x:v>37</x:v>
      </x:c>
      <x:c r="B40" s="95" t="str">
        <x:v>作品集</x:v>
      </x:c>
      <x:c r="C40" s="95" t="str">
        <x:v>项目3 或补强</x:v>
      </x:c>
      <x:c r="D40" s="95" t="str">
        <x:v>补一个小项目或强化项目1</x:v>
      </x:c>
      <x:c r="E40" s="95" t="str">
        <x:v>做日语版管理页面/文档</x:v>
      </x:c>
      <x:c r="F40" s="95" t="str">
        <x:v>日语页面文案</x:v>
      </x:c>
      <x:c r="G40" s="95" t="str">
        <x:v>项目组合完善</x:v>
      </x:c>
      <x:c r="H40" s="95" t="str">
        <x:v>未开始</x:v>
      </x:c>
      <x:c r="I40" s="101" t="n">
        <x:v>20</x:v>
      </x:c>
      <x:c r="J40" s="96" t="str"/>
    </x:row>
    <x:row r="41" ht="15" hidden="0" customHeight="1">
      <x:c r="A41" s="94" t="n">
        <x:v>38</x:v>
      </x:c>
      <x:c r="B41" s="95" t="str">
        <x:v>作品集</x:v>
      </x:c>
      <x:c r="C41" s="95" t="str">
        <x:v>作品集打磨</x:v>
      </x:c>
      <x:c r="D41" s="95" t="str">
        <x:v>统一 GitHub 首页与 README</x:v>
      </x:c>
      <x:c r="E41" s="95" t="str">
        <x:v>整理截图、接口、ER 图</x:v>
      </x:c>
      <x:c r="F41" s="95" t="str">
        <x:v>项目说明稿</x:v>
      </x:c>
      <x:c r="G41" s="95" t="str">
        <x:v>GitHub 作品集</x:v>
      </x:c>
      <x:c r="H41" s="95" t="str">
        <x:v>未开始</x:v>
      </x:c>
      <x:c r="I41" s="101" t="n">
        <x:v>18</x:v>
      </x:c>
      <x:c r="J41" s="96" t="str"/>
    </x:row>
    <x:row r="42" ht="15" hidden="0" customHeight="1">
      <x:c r="A42" s="94" t="n">
        <x:v>39</x:v>
      </x:c>
      <x:c r="B42" s="95" t="str">
        <x:v>作品集</x:v>
      </x:c>
      <x:c r="C42" s="95" t="str">
        <x:v>模拟真实任务</x:v>
      </x:c>
      <x:c r="D42" s="95" t="str">
        <x:v>从 issue 到分支到 PR</x:v>
      </x:c>
      <x:c r="E42" s="95" t="str">
        <x:v>给项目新增一个需求</x:v>
      </x:c>
      <x:c r="F42" s="95" t="str">
        <x:v>報告/連絡/相談</x:v>
      </x:c>
      <x:c r="G42" s="95" t="str">
        <x:v>变更记录</x:v>
      </x:c>
      <x:c r="H42" s="95" t="str">
        <x:v>未开始</x:v>
      </x:c>
      <x:c r="I42" s="101" t="n">
        <x:v>18</x:v>
      </x:c>
      <x:c r="J42" s="96" t="str"/>
    </x:row>
    <x:row r="43" ht="15" hidden="0" customHeight="1">
      <x:c r="A43" s="94" t="n">
        <x:v>40</x:v>
      </x:c>
      <x:c r="B43" s="95" t="str">
        <x:v>作品集</x:v>
      </x:c>
      <x:c r="C43" s="95" t="str">
        <x:v>总复盘</x:v>
      </x:c>
      <x:c r="D43" s="95" t="str">
        <x:v>补测试, 修结构, 删除无用代码</x:v>
      </x:c>
      <x:c r="E43" s="95" t="str">
        <x:v>最终打包项目</x:v>
      </x:c>
      <x:c r="F43" s="95" t="str">
        <x:v>项目发表练习</x:v>
      </x:c>
      <x:c r="G43" s="95" t="str">
        <x:v>作品集冻结版</x:v>
      </x:c>
      <x:c r="H43" s="95" t="str">
        <x:v>未开始</x:v>
      </x:c>
      <x:c r="I43" s="101" t="n">
        <x:v>18</x:v>
      </x:c>
      <x:c r="J43" s="96" t="str"/>
    </x:row>
    <x:row r="44" ht="15" hidden="0" customHeight="1">
      <x:c r="A44" s="94" t="n">
        <x:v>41</x:v>
      </x:c>
      <x:c r="B44" s="95" t="str">
        <x:v>求职冲刺</x:v>
      </x:c>
      <x:c r="C44" s="95" t="str">
        <x:v>简历准备</x:v>
      </x:c>
      <x:c r="D44" s="95" t="str">
        <x:v>中文简历、日文履历书</x:v>
      </x:c>
      <x:c r="E44" s="95" t="str">
        <x:v>整理技能清单</x:v>
      </x:c>
      <x:c r="F44" s="95" t="str">
        <x:v>自己PR</x:v>
      </x:c>
      <x:c r="G44" s="95" t="str">
        <x:v>履历书初稿</x:v>
      </x:c>
      <x:c r="H44" s="95" t="str">
        <x:v>未开始</x:v>
      </x:c>
      <x:c r="I44" s="101" t="n">
        <x:v>16</x:v>
      </x:c>
      <x:c r="J44" s="96" t="str"/>
    </x:row>
    <x:row r="45" ht="15" hidden="0" customHeight="1">
      <x:c r="A45" s="94" t="n">
        <x:v>42</x:v>
      </x:c>
      <x:c r="B45" s="95" t="str">
        <x:v>求职冲刺</x:v>
      </x:c>
      <x:c r="C45" s="95" t="str">
        <x:v>职务経歴書</x:v>
      </x:c>
      <x:c r="D45" s="95" t="str">
        <x:v>项目经历写法, 量化成果</x:v>
      </x:c>
      <x:c r="E45" s="95" t="str">
        <x:v>写 2 个项目经历</x:v>
      </x:c>
      <x:c r="F45" s="95" t="str">
        <x:v>職務経歴書表达</x:v>
      </x:c>
      <x:c r="G45" s="95" t="str">
        <x:v>职务経歴書初稿</x:v>
      </x:c>
      <x:c r="H45" s="95" t="str">
        <x:v>未开始</x:v>
      </x:c>
      <x:c r="I45" s="101" t="n">
        <x:v>16</x:v>
      </x:c>
      <x:c r="J45" s="96" t="str"/>
    </x:row>
    <x:row r="46" ht="15" hidden="0" customHeight="1">
      <x:c r="A46" s="94" t="n">
        <x:v>43</x:v>
      </x:c>
      <x:c r="B46" s="95" t="str">
        <x:v>求职冲刺</x:v>
      </x:c>
      <x:c r="C46" s="95" t="str">
        <x:v>Java 面试题</x:v>
      </x:c>
      <x:c r="D46" s="95" t="str">
        <x:v>OOP, 集合, 异常, JVM, 并发</x:v>
      </x:c>
      <x:c r="E46" s="95" t="str">
        <x:v>整理问答卡片</x:v>
      </x:c>
      <x:c r="F46" s="95" t="str">
        <x:v>技术问答日语</x:v>
      </x:c>
      <x:c r="G46" s="95" t="str">
        <x:v>Java 问答 50 题</x:v>
      </x:c>
      <x:c r="H46" s="95" t="str">
        <x:v>未开始</x:v>
      </x:c>
      <x:c r="I46" s="101" t="n">
        <x:v>18</x:v>
      </x:c>
      <x:c r="J46" s="96" t="str"/>
    </x:row>
    <x:row r="47" ht="15" hidden="0" customHeight="1">
      <x:c r="A47" s="94" t="n">
        <x:v>44</x:v>
      </x:c>
      <x:c r="B47" s="95" t="str">
        <x:v>求职冲刺</x:v>
      </x:c>
      <x:c r="C47" s="95" t="str">
        <x:v>Spring/DB 面试题</x:v>
      </x:c>
      <x:c r="D47" s="95" t="str">
        <x:v>DI, AOP, 事务, SQL, 索引</x:v>
      </x:c>
      <x:c r="E47" s="95" t="str">
        <x:v>整理问答卡片</x:v>
      </x:c>
      <x:c r="F47" s="95" t="str">
        <x:v>解释项目技术栈</x:v>
      </x:c>
      <x:c r="G47" s="95" t="str">
        <x:v>后端问答 50 题</x:v>
      </x:c>
      <x:c r="H47" s="95" t="str">
        <x:v>未开始</x:v>
      </x:c>
      <x:c r="I47" s="101" t="n">
        <x:v>18</x:v>
      </x:c>
      <x:c r="J47" s="96" t="str"/>
    </x:row>
    <x:row r="48" ht="15" hidden="0" customHeight="1">
      <x:c r="A48" s="94" t="n">
        <x:v>45</x:v>
      </x:c>
      <x:c r="B48" s="95" t="str">
        <x:v>求职冲刺</x:v>
      </x:c>
      <x:c r="C48" s="95" t="str">
        <x:v>项目面试演练</x:v>
      </x:c>
      <x:c r="D48" s="95" t="str">
        <x:v>STAR 法, 难点, 解决方案</x:v>
      </x:c>
      <x:c r="E48" s="95" t="str">
        <x:v>录音复盘项目说明</x:v>
      </x:c>
      <x:c r="F48" s="95" t="str">
        <x:v>3 分钟项目介绍</x:v>
      </x:c>
      <x:c r="G48" s="95" t="str">
        <x:v>项目答辩稿</x:v>
      </x:c>
      <x:c r="H48" s="95" t="str">
        <x:v>未开始</x:v>
      </x:c>
      <x:c r="I48" s="101" t="n">
        <x:v>16</x:v>
      </x:c>
      <x:c r="J48" s="96" t="str"/>
    </x:row>
    <x:row r="49" ht="15" hidden="0" customHeight="1">
      <x:c r="A49" s="94" t="n">
        <x:v>46</x:v>
      </x:c>
      <x:c r="B49" s="95" t="str">
        <x:v>求职冲刺</x:v>
      </x:c>
      <x:c r="C49" s="95" t="str">
        <x:v>投递与筛选</x:v>
      </x:c>
      <x:c r="D49" s="95" t="str">
        <x:v>看 JD, 匹配技能, 修改简历</x:v>
      </x:c>
      <x:c r="E49" s="95" t="str">
        <x:v>投递 10-20 个岗位</x:v>
      </x:c>
      <x:c r="F49" s="95" t="str">
        <x:v>邮件/面试礼仪</x:v>
      </x:c>
      <x:c r="G49" s="95" t="str">
        <x:v>投递记录</x:v>
      </x:c>
      <x:c r="H49" s="95" t="str">
        <x:v>未开始</x:v>
      </x:c>
      <x:c r="I49" s="101" t="n">
        <x:v>14</x:v>
      </x:c>
      <x:c r="J49" s="96" t="str"/>
    </x:row>
    <x:row r="50" ht="15" hidden="0" customHeight="1">
      <x:c r="A50" s="94" t="n">
        <x:v>47</x:v>
      </x:c>
      <x:c r="B50" s="95" t="str">
        <x:v>求职冲刺</x:v>
      </x:c>
      <x:c r="C50" s="95" t="str">
        <x:v>模拟面试</x:v>
      </x:c>
      <x:c r="D50" s="95" t="str">
        <x:v>中文 + 日语模拟面试</x:v>
      </x:c>
      <x:c r="E50" s="95" t="str">
        <x:v>修正薄弱回答</x:v>
      </x:c>
      <x:c r="F50" s="95" t="str">
        <x:v>面接練習</x:v>
      </x:c>
      <x:c r="G50" s="95" t="str">
        <x:v>模拟面试记录</x:v>
      </x:c>
      <x:c r="H50" s="95" t="str">
        <x:v>未开始</x:v>
      </x:c>
      <x:c r="I50" s="101" t="n">
        <x:v>16</x:v>
      </x:c>
      <x:c r="J50" s="96" t="str"/>
    </x:row>
    <x:row r="51" ht="15" hidden="0" customHeight="1">
      <x:c r="A51" s="97" t="n">
        <x:v>48</x:v>
      </x:c>
      <x:c r="B51" s="98" t="str">
        <x:v>求职冲刺</x:v>
      </x:c>
      <x:c r="C51" s="98" t="str">
        <x:v>复盘迭代</x:v>
      </x:c>
      <x:c r="D51" s="98" t="str">
        <x:v>根据反馈补技术和表达</x:v>
      </x:c>
      <x:c r="E51" s="98" t="str">
        <x:v>更新项目与简历</x:v>
      </x:c>
      <x:c r="F51" s="98" t="str">
        <x:v>面试复盘日语</x:v>
      </x:c>
      <x:c r="G51" s="98" t="str">
        <x:v>下一轮行动清单</x:v>
      </x:c>
      <x:c r="H51" s="98" t="str">
        <x:v>未开始</x:v>
      </x:c>
      <x:c r="I51" s="102" t="n">
        <x:v>14</x:v>
      </x:c>
      <x:c r="J51" s="99" t="str"/>
    </x:row>
  </x:sheetData>
  <x:mergeCells>
    <x:mergeCell ref="A1:J1"/>
  </x:mergeCells>
  <x:dataValidations count="1">
    <x:dataValidation type="list" sqref="H4:H51">
      <x:formula1>"未开始,进行中,已完成,延期"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0912563df48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42" hidden="0" customWidth="1"/>
    <x:col min="5" max="5" width="12" hidden="0" customWidth="1"/>
    <x:col min="6" max="6" width="34" hidden="0" customWidth="1"/>
    <x:col min="7" max="7" width="28" hidden="0" customWidth="1"/>
  </x:cols>
  <x:sheetData>
    <x:row r="1" ht="19.200000762939453" hidden="0" customHeight="1">
      <x:c r="A1" s="83" t="str">
        <x:v>每日学习模板</x:v>
      </x:c>
      <x:c r="B1" s="83" t="str">
        <x:v>每日学习模板</x:v>
      </x:c>
      <x:c r="C1" s="83" t="str">
        <x:v>每日学习模板</x:v>
      </x:c>
      <x:c r="D1" s="83" t="str">
        <x:v>每日学习模板</x:v>
      </x:c>
      <x:c r="E1" s="83" t="str">
        <x:v>每日学习模板</x:v>
      </x:c>
      <x:c r="F1" s="83" t="str">
        <x:v>每日学习模板</x:v>
      </x:c>
      <x:c r="G1" s="83" t="str">
        <x:v>每日学习模板</x:v>
      </x:c>
    </x:row>
    <x:row r="2" ht="15" hidden="0" customHeight="1">
      <x:c r="A2" s="84"/>
      <x:c r="B2" s="84"/>
      <x:c r="C2" s="84"/>
      <x:c r="D2" s="84"/>
      <x:c r="E2" s="84"/>
      <x:c r="F2" s="84"/>
      <x:c r="G2" s="84"/>
    </x:row>
    <x:row r="3" ht="15" hidden="0" customHeight="1">
      <x:c r="A3" s="85" t="str">
        <x:v>模式</x:v>
      </x:c>
      <x:c r="B3" s="86" t="str">
        <x:v>适用情况</x:v>
      </x:c>
      <x:c r="C3" s="86" t="str">
        <x:v>学习新知识</x:v>
      </x:c>
      <x:c r="D3" s="86" t="str">
        <x:v>编码练习</x:v>
      </x:c>
      <x:c r="E3" s="86" t="str">
        <x:v>日语</x:v>
      </x:c>
      <x:c r="F3" s="86" t="str">
        <x:v>复盘</x:v>
      </x:c>
      <x:c r="G3" s="87" t="str">
        <x:v>备注</x:v>
      </x:c>
    </x:row>
    <x:row r="4" ht="15" hidden="0" customHeight="1">
      <x:c r="A4" s="91" t="str">
        <x:v>3小时版</x:v>
      </x:c>
      <x:c r="B4" s="92" t="str">
        <x:v>上班/上学日</x:v>
      </x:c>
      <x:c r="C4" s="92" t="str">
        <x:v>60 分钟</x:v>
      </x:c>
      <x:c r="D4" s="92" t="str">
        <x:v>90 分钟</x:v>
      </x:c>
      <x:c r="E4" s="92" t="str">
        <x:v>30 分钟</x:v>
      </x:c>
      <x:c r="F4" s="92" t="str">
        <x:v>10 分钟</x:v>
      </x:c>
      <x:c r="G4" s="93" t="str">
        <x:v>保持连续性最重要</x:v>
      </x:c>
    </x:row>
    <x:row r="5" ht="15" hidden="0" customHeight="1">
      <x:c r="A5" s="94" t="str">
        <x:v>5小时版</x:v>
      </x:c>
      <x:c r="B5" s="95" t="str">
        <x:v>时间较充足</x:v>
      </x:c>
      <x:c r="C5" s="95" t="str">
        <x:v>90 分钟</x:v>
      </x:c>
      <x:c r="D5" s="95" t="str">
        <x:v>150 分钟</x:v>
      </x:c>
      <x:c r="E5" s="95" t="str">
        <x:v>60 分钟</x:v>
      </x:c>
      <x:c r="F5" s="95" t="str">
        <x:v>20 分钟</x:v>
      </x:c>
      <x:c r="G5" s="96" t="str">
        <x:v>适合项目阶段</x:v>
      </x:c>
    </x:row>
    <x:row r="6" ht="15" hidden="0" customHeight="1">
      <x:c r="A6" s="97" t="str">
        <x:v>周末强化版</x:v>
      </x:c>
      <x:c r="B6" s="98" t="str">
        <x:v>周末或假日</x:v>
      </x:c>
      <x:c r="C6" s="98" t="str">
        <x:v>120 分钟</x:v>
      </x:c>
      <x:c r="D6" s="98" t="str">
        <x:v>240 分钟</x:v>
      </x:c>
      <x:c r="E6" s="98" t="str">
        <x:v>60 分钟</x:v>
      </x:c>
      <x:c r="F6" s="98" t="str">
        <x:v>30 分钟</x:v>
      </x:c>
      <x:c r="G6" s="99" t="str">
        <x:v>集中做项目和整理 README</x:v>
      </x:c>
    </x:row>
    <x:row r="7" ht="15" hidden="0" customHeight="1">
      <x:c r="A7" s="84"/>
      <x:c r="B7" s="84"/>
      <x:c r="C7" s="84"/>
      <x:c r="D7" s="84"/>
      <x:c r="E7" s="84"/>
      <x:c r="F7" s="84"/>
      <x:c r="G7" s="84"/>
    </x:row>
    <x:row r="8" ht="15" hidden="0" customHeight="1">
      <x:c r="A8" s="85" t="str">
        <x:v>每日打卡</x:v>
      </x:c>
      <x:c r="B8" s="86" t="str">
        <x:v>日期</x:v>
      </x:c>
      <x:c r="C8" s="86" t="str">
        <x:v>本周编号</x:v>
      </x:c>
      <x:c r="D8" s="86" t="str">
        <x:v>完成内容</x:v>
      </x:c>
      <x:c r="E8" s="86" t="str">
        <x:v>状态</x:v>
      </x:c>
      <x:c r="F8" s="87" t="str">
        <x:v>明日重点</x:v>
      </x:c>
      <x:c r="G8" s="84"/>
    </x:row>
    <x:row r="9" ht="26.399999618530273" hidden="0" customHeight="1">
      <x:c r="A9" s="91" t="n">
        <x:v>1</x:v>
      </x:c>
      <x:c r="B9" s="103" t="n">
        <x:v>46205</x:v>
      </x:c>
      <x:c r="C9" s="92" t="n">
        <x:v>1</x:v>
      </x:c>
      <x:c r="D9" s="92" t="str">
        <x:v>安装/确认 JDK 与 IntelliJ；运行 Hello World；记录环境问题</x:v>
      </x:c>
      <x:c r="E9" s="115" t="str">
        <x:v>进行中</x:v>
      </x:c>
      <x:c r="F9" s="92" t="str">
        <x:v>能成功运行第一个 Java 程序</x:v>
      </x:c>
      <x:c r="G9" s="84"/>
    </x:row>
    <x:row r="10" ht="15" hidden="0" customHeight="1">
      <x:c r="A10" s="94" t="n">
        <x:v>2</x:v>
      </x:c>
      <x:c r="B10" s="104" t="n">
        <x:v>46206</x:v>
      </x:c>
      <x:c r="C10" s="95" t="n">
        <x:v>1</x:v>
      </x:c>
      <x:c r="D10" s="95" t="str">
        <x:v>学习变量、数据类型、输入输出；完成 5 个小练习</x:v>
      </x:c>
      <x:c r="E10" s="95" t="str">
        <x:v>未开始</x:v>
      </x:c>
      <x:c r="F10" s="95" t="str">
        <x:v>整理变量和类型笔记</x:v>
      </x:c>
      <x:c r="G10" s="84"/>
    </x:row>
    <x:row r="11" ht="15" hidden="0" customHeight="1">
      <x:c r="A11" s="94" t="n">
        <x:v>3</x:v>
      </x:c>
      <x:c r="B11" s="104" t="n">
        <x:v>46207</x:v>
      </x:c>
      <x:c r="C11" s="95" t="n">
        <x:v>1</x:v>
      </x:c>
      <x:c r="D11" s="95" t="str">
        <x:v>学习 if/switch；完成 5 个条件判断练习</x:v>
      </x:c>
      <x:c r="E11" s="95" t="str">
        <x:v>未开始</x:v>
      </x:c>
      <x:c r="F11" s="95" t="str">
        <x:v>能解释条件分支</x:v>
      </x:c>
      <x:c r="G11" s="84"/>
    </x:row>
    <x:row r="12" ht="15" hidden="0" customHeight="1">
      <x:c r="A12" s="94" t="n">
        <x:v>4</x:v>
      </x:c>
      <x:c r="B12" s="104" t="n">
        <x:v>46208</x:v>
      </x:c>
      <x:c r="C12" s="95" t="n">
        <x:v>1</x:v>
      </x:c>
      <x:c r="D12" s="95" t="str">
        <x:v>学习 for/while；完成 5 个循环练习</x:v>
      </x:c>
      <x:c r="E12" s="95" t="str">
        <x:v>未开始</x:v>
      </x:c>
      <x:c r="F12" s="95" t="str">
        <x:v>能独立写循环</x:v>
      </x:c>
      <x:c r="G12" s="84"/>
    </x:row>
    <x:row r="13" ht="15" hidden="0" customHeight="1">
      <x:c r="A13" s="94" t="n">
        <x:v>5</x:v>
      </x:c>
      <x:c r="B13" s="104" t="n">
        <x:v>46209</x:v>
      </x:c>
      <x:c r="C13" s="95" t="n">
        <x:v>1</x:v>
      </x:c>
      <x:c r="D13" s="95" t="str">
        <x:v>学习数组基础；完成 5 个数组练习</x:v>
      </x:c>
      <x:c r="E13" s="95" t="str">
        <x:v>未开始</x:v>
      </x:c>
      <x:c r="F13" s="95" t="str">
        <x:v>把练习提交到 GitHub 或本地文件夹</x:v>
      </x:c>
      <x:c r="G13" s="84"/>
    </x:row>
    <x:row r="14" ht="15" hidden="0" customHeight="1">
      <x:c r="A14" s="94" t="n">
        <x:v>6</x:v>
      </x:c>
      <x:c r="B14" s="104" t="n">
        <x:v>46210</x:v>
      </x:c>
      <x:c r="C14" s="95" t="n">
        <x:v>1</x:v>
      </x:c>
      <x:c r="D14" s="95" t="str">
        <x:v>复盘本周代码；重写 2 个不熟练练习</x:v>
      </x:c>
      <x:c r="E14" s="95" t="str">
        <x:v>未开始</x:v>
      </x:c>
      <x:c r="F14" s="95" t="str">
        <x:v>列出 3 个薄弱点</x:v>
      </x:c>
      <x:c r="G14" s="84"/>
    </x:row>
    <x:row r="15" ht="15" hidden="0" customHeight="1">
      <x:c r="A15" s="94" t="n">
        <x:v>7</x:v>
      </x:c>
      <x:c r="B15" s="104" t="n">
        <x:v>46211</x:v>
      </x:c>
      <x:c r="C15" s="95" t="n">
        <x:v>1</x:v>
      </x:c>
      <x:c r="D15" s="95" t="str">
        <x:v>周总结：整理笔记、补齐练习、写下下周准备事项</x:v>
      </x:c>
      <x:c r="E15" s="95" t="str">
        <x:v>未开始</x:v>
      </x:c>
      <x:c r="F15" s="95" t="str">
        <x:v>第 1 周总结完成</x:v>
      </x:c>
      <x:c r="G15" s="84"/>
    </x:row>
    <x:row r="16" ht="15" hidden="0" customHeight="1">
      <x:c r="A16" s="94" t="n">
        <x:v>8</x:v>
      </x:c>
      <x:c r="B16" s="104"/>
      <x:c r="C16" s="95"/>
      <x:c r="D16" s="95" t="str"/>
      <x:c r="E16" s="95" t="str">
        <x:v>未开始</x:v>
      </x:c>
      <x:c r="F16" s="96" t="str"/>
      <x:c r="G16" s="84"/>
    </x:row>
    <x:row r="17" ht="15" hidden="0" customHeight="1">
      <x:c r="A17" s="94" t="n">
        <x:v>9</x:v>
      </x:c>
      <x:c r="B17" s="104"/>
      <x:c r="C17" s="95"/>
      <x:c r="D17" s="95" t="str"/>
      <x:c r="E17" s="95" t="str">
        <x:v>未开始</x:v>
      </x:c>
      <x:c r="F17" s="96" t="str"/>
      <x:c r="G17" s="84"/>
    </x:row>
    <x:row r="18" ht="15" hidden="0" customHeight="1">
      <x:c r="A18" s="94" t="n">
        <x:v>10</x:v>
      </x:c>
      <x:c r="B18" s="104"/>
      <x:c r="C18" s="95"/>
      <x:c r="D18" s="95" t="str"/>
      <x:c r="E18" s="95" t="str">
        <x:v>未开始</x:v>
      </x:c>
      <x:c r="F18" s="96" t="str"/>
      <x:c r="G18" s="84"/>
    </x:row>
    <x:row r="19" ht="15" hidden="0" customHeight="1">
      <x:c r="A19" s="94" t="n">
        <x:v>11</x:v>
      </x:c>
      <x:c r="B19" s="104"/>
      <x:c r="C19" s="95"/>
      <x:c r="D19" s="95" t="str"/>
      <x:c r="E19" s="95" t="str">
        <x:v>未开始</x:v>
      </x:c>
      <x:c r="F19" s="96" t="str"/>
      <x:c r="G19" s="84"/>
    </x:row>
    <x:row r="20" ht="15" hidden="0" customHeight="1">
      <x:c r="A20" s="94" t="n">
        <x:v>12</x:v>
      </x:c>
      <x:c r="B20" s="104"/>
      <x:c r="C20" s="95"/>
      <x:c r="D20" s="95" t="str"/>
      <x:c r="E20" s="95" t="str">
        <x:v>未开始</x:v>
      </x:c>
      <x:c r="F20" s="96" t="str"/>
      <x:c r="G20" s="84"/>
    </x:row>
    <x:row r="21" ht="15" hidden="0" customHeight="1">
      <x:c r="A21" s="94" t="n">
        <x:v>13</x:v>
      </x:c>
      <x:c r="B21" s="104"/>
      <x:c r="C21" s="95"/>
      <x:c r="D21" s="95" t="str"/>
      <x:c r="E21" s="95" t="str">
        <x:v>未开始</x:v>
      </x:c>
      <x:c r="F21" s="96" t="str"/>
      <x:c r="G21" s="84"/>
    </x:row>
    <x:row r="22" ht="15" hidden="0" customHeight="1">
      <x:c r="A22" s="97" t="n">
        <x:v>14</x:v>
      </x:c>
      <x:c r="B22" s="105"/>
      <x:c r="C22" s="98"/>
      <x:c r="D22" s="98" t="str"/>
      <x:c r="E22" s="98" t="str">
        <x:v>未开始</x:v>
      </x:c>
      <x:c r="F22" s="99" t="str"/>
      <x:c r="G22" s="84"/>
    </x:row>
  </x:sheetData>
  <x:mergeCells>
    <x:mergeCell ref="A1:G1"/>
  </x:mergeCells>
  <x:dataValidations count="2">
    <x:dataValidation type="list" sqref="E9:E22">
      <x:formula1>"未开始,进行中,已完成,延期"</x:formula1>
    </x:dataValidation>
    <x:dataValidation type="list" sqref="E9:E15">
      <x:formula1>"未开始,进行中,已完成,延期"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36" hidden="0" customWidth="1"/>
    <x:col min="5" max="5" width="34" hidden="0" customWidth="1"/>
    <x:col min="6" max="6" width="36" hidden="0" customWidth="1"/>
    <x:col min="7" max="7" width="18" hidden="0" customWidth="1"/>
    <x:col min="8" max="8" width="12" hidden="0" customWidth="1"/>
    <x:col min="9" max="9" width="24" hidden="0" customWidth="1"/>
  </x:cols>
  <x:sheetData>
    <x:row r="1" ht="19.200000762939453" hidden="0" customHeight="1">
      <x:c r="A1" s="83" t="str">
        <x:v>作品集项目规划</x:v>
      </x:c>
      <x:c r="B1" s="83" t="str">
        <x:v>作品集项目规划</x:v>
      </x:c>
      <x:c r="C1" s="83" t="str">
        <x:v>作品集项目规划</x:v>
      </x:c>
      <x:c r="D1" s="83" t="str">
        <x:v>作品集项目规划</x:v>
      </x:c>
      <x:c r="E1" s="83" t="str">
        <x:v>作品集项目规划</x:v>
      </x:c>
      <x:c r="F1" s="83" t="str">
        <x:v>作品集项目规划</x:v>
      </x:c>
      <x:c r="G1" s="83" t="str">
        <x:v>作品集项目规划</x:v>
      </x:c>
      <x:c r="H1" s="83" t="str">
        <x:v>作品集项目规划</x:v>
      </x:c>
      <x:c r="I1" s="83" t="str">
        <x:v>作品集项目规划</x:v>
      </x:c>
    </x:row>
    <x:row r="2" ht="15" hidden="0" customHeight="1">
      <x:c r="A2" s="84"/>
      <x:c r="B2" s="84"/>
      <x:c r="C2" s="84"/>
      <x:c r="D2" s="84"/>
      <x:c r="E2" s="84"/>
      <x:c r="F2" s="84"/>
      <x:c r="G2" s="84"/>
      <x:c r="H2" s="84"/>
      <x:c r="I2" s="84"/>
    </x:row>
    <x:row r="3" ht="15" hidden="0" customHeight="1">
      <x:c r="A3" s="85" t="str">
        <x:v>项目</x:v>
      </x:c>
      <x:c r="B3" s="86" t="str">
        <x:v>业务场景</x:v>
      </x:c>
      <x:c r="C3" s="86" t="str">
        <x:v>核心功能</x:v>
      </x:c>
      <x:c r="D3" s="86" t="str">
        <x:v>技术栈</x:v>
      </x:c>
      <x:c r="E3" s="86" t="str">
        <x:v>加分项</x:v>
      </x:c>
      <x:c r="F3" s="86" t="str">
        <x:v>交付物</x:v>
      </x:c>
      <x:c r="G3" s="86" t="str">
        <x:v>README 语言</x:v>
      </x:c>
      <x:c r="H3" s="86" t="str">
        <x:v>状态</x:v>
      </x:c>
      <x:c r="I3" s="87" t="str">
        <x:v>备注</x:v>
      </x:c>
    </x:row>
    <x:row r="4" ht="26.399999618530273" hidden="0" customHeight="1">
      <x:c r="A4" s="91" t="str">
        <x:v>日语版勤怠管理系统</x:v>
      </x:c>
      <x:c r="B4" s="92" t="str">
        <x:v>日本企业常见业务</x:v>
      </x:c>
      <x:c r="C4" s="92" t="str">
        <x:v>员工管理, 勤怠登记, 休假申请, 审批, 月报</x:v>
      </x:c>
      <x:c r="D4" s="92" t="str">
        <x:v>Java, Spring Boot, MySQL, MyBatis/JPA, JWT, Docker</x:v>
      </x:c>
      <x:c r="E4" s="92" t="str">
        <x:v>日语页面/README, 审批流程, 导出报表</x:v>
      </x:c>
      <x:c r="F4" s="92" t="str">
        <x:v>源码, ER 图, 接口文档, 截图, 部署说明</x:v>
      </x:c>
      <x:c r="G4" s="92" t="str">
        <x:v>中日双语</x:v>
      </x:c>
      <x:c r="H4" s="92" t="str">
        <x:v>未开始</x:v>
      </x:c>
      <x:c r="I4" s="93" t="str">
        <x:v>最推荐作为主项目</x:v>
      </x:c>
    </x:row>
    <x:row r="5" ht="15" hidden="0" customHeight="1">
      <x:c r="A5" s="94" t="str">
        <x:v>任务协作系统</x:v>
      </x:c>
      <x:c r="B5" s="95" t="str">
        <x:v>团队任务管理</x:v>
      </x:c>
      <x:c r="C5" s="95" t="str">
        <x:v>项目, 任务, 评论, 状态流转, 权限</x:v>
      </x:c>
      <x:c r="D5" s="95" t="str">
        <x:v>Spring Boot, Redis, JUnit, Docker</x:v>
      </x:c>
      <x:c r="E5" s="95" t="str">
        <x:v>通知, 看板, 统计接口</x:v>
      </x:c>
      <x:c r="F5" s="95" t="str">
        <x:v>源码, API 文档, 测试说明</x:v>
      </x:c>
      <x:c r="G5" s="95" t="str">
        <x:v>中文 + 日语摘要</x:v>
      </x:c>
      <x:c r="H5" s="95" t="str">
        <x:v>未开始</x:v>
      </x:c>
      <x:c r="I5" s="96" t="str"/>
    </x:row>
    <x:row r="6" ht="15" hidden="0" customHeight="1">
      <x:c r="A6" s="97" t="str">
        <x:v>在线考试系统</x:v>
      </x:c>
      <x:c r="B6" s="98" t="str">
        <x:v>教育/培训场景</x:v>
      </x:c>
      <x:c r="C6" s="98" t="str">
        <x:v>题库, 试卷, 答题, 自动评分, 成绩统计</x:v>
      </x:c>
      <x:c r="D6" s="98" t="str">
        <x:v>Spring Boot, MySQL, Redis, 文件上传</x:v>
      </x:c>
      <x:c r="E6" s="98" t="str">
        <x:v>错题本, 权限角色, 导入题库</x:v>
      </x:c>
      <x:c r="F6" s="98" t="str">
        <x:v>源码, 数据库设计, 演示截图</x:v>
      </x:c>
      <x:c r="G6" s="98" t="str">
        <x:v>中文 + 日语摘要</x:v>
      </x:c>
      <x:c r="H6" s="98" t="str">
        <x:v>未开始</x:v>
      </x:c>
      <x:c r="I6" s="99" t="str"/>
    </x:row>
  </x:sheetData>
  <x:mergeCells>
    <x:mergeCell ref="A1:I1"/>
  </x:mergeCells>
  <x:dataValidations count="1">
    <x:dataValidation type="list" sqref="H4:H6">
      <x:formula1>"未开始,进行中,已完成,延期"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24" hidden="0" customWidth="1"/>
    <x:col min="5" max="5" width="28" hidden="0" customWidth="1"/>
    <x:col min="6" max="6" width="12" hidden="0" customWidth="1"/>
  </x:cols>
  <x:sheetData>
    <x:row r="1" ht="19.200000762939453" hidden="0" customHeight="1">
      <x:c r="A1" s="83" t="str">
        <x:v>日本 Java 工程师面试准备清单</x:v>
      </x:c>
      <x:c r="B1" s="83" t="str">
        <x:v>日本 Java 工程师面试准备清单</x:v>
      </x:c>
      <x:c r="C1" s="83" t="str">
        <x:v>日本 Java 工程师面试准备清单</x:v>
      </x:c>
      <x:c r="D1" s="83" t="str">
        <x:v>日本 Java 工程师面试准备清单</x:v>
      </x:c>
      <x:c r="E1" s="83" t="str">
        <x:v>日本 Java 工程师面试准备清单</x:v>
      </x:c>
      <x:c r="F1" s="83" t="str">
        <x:v>日本 Java 工程师面试准备清单</x:v>
      </x:c>
    </x:row>
    <x:row r="2" ht="15" hidden="0" customHeight="1">
      <x:c r="A2" s="84"/>
      <x:c r="B2" s="84"/>
      <x:c r="C2" s="84"/>
      <x:c r="D2" s="84"/>
      <x:c r="E2" s="84"/>
      <x:c r="F2" s="84"/>
    </x:row>
    <x:row r="3" ht="15" hidden="0" customHeight="1">
      <x:c r="A3" s="85" t="str">
        <x:v>分类</x:v>
      </x:c>
      <x:c r="B3" s="86" t="str">
        <x:v>问题/主题</x:v>
      </x:c>
      <x:c r="C3" s="86" t="str">
        <x:v>掌握标准</x:v>
      </x:c>
      <x:c r="D3" s="86" t="str">
        <x:v>练习方式</x:v>
      </x:c>
      <x:c r="E3" s="86" t="str">
        <x:v>日语表达</x:v>
      </x:c>
      <x:c r="F3" s="87" t="str">
        <x:v>状态</x:v>
      </x:c>
    </x:row>
    <x:row r="4" ht="15" hidden="0" customHeight="1">
      <x:c r="A4" s="91" t="str">
        <x:v>Java</x:v>
      </x:c>
      <x:c r="B4" s="92" t="str">
        <x:v>面向对象三大特性</x:v>
      </x:c>
      <x:c r="C4" s="92" t="str">
        <x:v>能举项目中的例子</x:v>
      </x:c>
      <x:c r="D4" s="92" t="str">
        <x:v>口述 + 代码例子</x:v>
      </x:c>
      <x:c r="E4" s="92" t="str">
        <x:v>オブジェクト指向</x:v>
      </x:c>
      <x:c r="F4" s="93" t="str">
        <x:v>未开始</x:v>
      </x:c>
    </x:row>
    <x:row r="5" ht="15" hidden="0" customHeight="1">
      <x:c r="A5" s="94" t="str">
        <x:v>Java</x:v>
      </x:c>
      <x:c r="B5" s="95" t="str">
        <x:v>ArrayList 和 LinkedList</x:v>
      </x:c>
      <x:c r="C5" s="95" t="str">
        <x:v>知道使用场景和复杂度</x:v>
      </x:c>
      <x:c r="D5" s="95" t="str">
        <x:v>画图说明</x:v>
      </x:c>
      <x:c r="E5" s="95" t="str">
        <x:v>配列/リスト</x:v>
      </x:c>
      <x:c r="F5" s="96" t="str">
        <x:v>未开始</x:v>
      </x:c>
    </x:row>
    <x:row r="6" ht="15" hidden="0" customHeight="1">
      <x:c r="A6" s="94" t="str">
        <x:v>Java</x:v>
      </x:c>
      <x:c r="B6" s="95" t="str">
        <x:v>HashMap 原理</x:v>
      </x:c>
      <x:c r="C6" s="95" t="str">
        <x:v>知道 hash、冲突、扩容基本概念</x:v>
      </x:c>
      <x:c r="D6" s="95" t="str">
        <x:v>手写流程图</x:v>
      </x:c>
      <x:c r="E6" s="95" t="str">
        <x:v>ハッシュマップ</x:v>
      </x:c>
      <x:c r="F6" s="96" t="str">
        <x:v>未开始</x:v>
      </x:c>
    </x:row>
    <x:row r="7" ht="15" hidden="0" customHeight="1">
      <x:c r="A7" s="94" t="str">
        <x:v>Java</x:v>
      </x:c>
      <x:c r="B7" s="95" t="str">
        <x:v>异常处理</x:v>
      </x:c>
      <x:c r="C7" s="95" t="str">
        <x:v>能区分 checked/unchecked</x:v>
      </x:c>
      <x:c r="D7" s="95" t="str">
        <x:v>改造项目错误处理</x:v>
      </x:c>
      <x:c r="E7" s="95" t="str">
        <x:v>例外処理</x:v>
      </x:c>
      <x:c r="F7" s="96" t="str">
        <x:v>未开始</x:v>
      </x:c>
    </x:row>
    <x:row r="8" ht="15" hidden="0" customHeight="1">
      <x:c r="A8" s="94" t="str">
        <x:v>Java</x:v>
      </x:c>
      <x:c r="B8" s="95" t="str">
        <x:v>线程和线程池</x:v>
      </x:c>
      <x:c r="C8" s="95" t="str">
        <x:v>能说明基本概念和风险</x:v>
      </x:c>
      <x:c r="D8" s="95" t="str">
        <x:v>写 demo</x:v>
      </x:c>
      <x:c r="E8" s="95" t="str">
        <x:v>スレッド</x:v>
      </x:c>
      <x:c r="F8" s="96" t="str">
        <x:v>未开始</x:v>
      </x:c>
    </x:row>
    <x:row r="9" ht="15" hidden="0" customHeight="1">
      <x:c r="A9" s="94" t="str">
        <x:v>Spring</x:v>
      </x:c>
      <x:c r="B9" s="95" t="str">
        <x:v>Spring Boot 是什么</x:v>
      </x:c>
      <x:c r="C9" s="95" t="str">
        <x:v>能说明自动配置和快速开发</x:v>
      </x:c>
      <x:c r="D9" s="95" t="str">
        <x:v>口述 1 分钟</x:v>
      </x:c>
      <x:c r="E9" s="95" t="str">
        <x:v>自動設定</x:v>
      </x:c>
      <x:c r="F9" s="96" t="str">
        <x:v>未开始</x:v>
      </x:c>
    </x:row>
    <x:row r="10" ht="15" hidden="0" customHeight="1">
      <x:c r="A10" s="94" t="str">
        <x:v>Spring</x:v>
      </x:c>
      <x:c r="B10" s="95" t="str">
        <x:v>依赖注入</x:v>
      </x:c>
      <x:c r="C10" s="95" t="str">
        <x:v>能说明 DI 的意义</x:v>
      </x:c>
      <x:c r="D10" s="95" t="str">
        <x:v>结合项目 Service</x:v>
      </x:c>
      <x:c r="E10" s="95" t="str">
        <x:v>依存性注入</x:v>
      </x:c>
      <x:c r="F10" s="96" t="str">
        <x:v>未开始</x:v>
      </x:c>
    </x:row>
    <x:row r="11" ht="15" hidden="0" customHeight="1">
      <x:c r="A11" s="94" t="str">
        <x:v>Spring</x:v>
      </x:c>
      <x:c r="B11" s="95" t="str">
        <x:v>AOP 和事务</x:v>
      </x:c>
      <x:c r="C11" s="95" t="str">
        <x:v>能说日志/事务场景</x:v>
      </x:c>
      <x:c r="D11" s="95" t="str">
        <x:v>项目例子</x:v>
      </x:c>
      <x:c r="E11" s="95" t="str">
        <x:v>トランザクション</x:v>
      </x:c>
      <x:c r="F11" s="96" t="str">
        <x:v>未开始</x:v>
      </x:c>
    </x:row>
    <x:row r="12" ht="26.399999618530273" hidden="0" customHeight="1">
      <x:c r="A12" s="94" t="str">
        <x:v>Spring</x:v>
      </x:c>
      <x:c r="B12" s="95" t="str">
        <x:v>Controller/Service/Mapper 分层</x:v>
      </x:c>
      <x:c r="C12" s="95" t="str">
        <x:v>能说明职责</x:v>
      </x:c>
      <x:c r="D12" s="95" t="str">
        <x:v>画架构图</x:v>
      </x:c>
      <x:c r="E12" s="95" t="str">
        <x:v>レイヤー構成</x:v>
      </x:c>
      <x:c r="F12" s="96" t="str">
        <x:v>未开始</x:v>
      </x:c>
    </x:row>
    <x:row r="13" ht="15" hidden="0" customHeight="1">
      <x:c r="A13" s="94" t="str">
        <x:v>数据库</x:v>
      </x:c>
      <x:c r="B13" s="95" t="str">
        <x:v>JOIN 查询</x:v>
      </x:c>
      <x:c r="C13" s="95" t="str">
        <x:v>能写 inner/left join</x:v>
      </x:c>
      <x:c r="D13" s="95" t="str">
        <x:v>SQL 练习</x:v>
      </x:c>
      <x:c r="E13" s="95" t="str">
        <x:v>結合検索</x:v>
      </x:c>
      <x:c r="F13" s="96" t="str">
        <x:v>未开始</x:v>
      </x:c>
    </x:row>
    <x:row r="14" ht="15" hidden="0" customHeight="1">
      <x:c r="A14" s="94" t="str">
        <x:v>数据库</x:v>
      </x:c>
      <x:c r="B14" s="95" t="str">
        <x:v>索引</x:v>
      </x:c>
      <x:c r="C14" s="95" t="str">
        <x:v>知道为什么能加速和代价</x:v>
      </x:c>
      <x:c r="D14" s="95" t="str">
        <x:v>Explain 基础</x:v>
      </x:c>
      <x:c r="E14" s="95" t="str">
        <x:v>インデックス</x:v>
      </x:c>
      <x:c r="F14" s="96" t="str">
        <x:v>未开始</x:v>
      </x:c>
    </x:row>
    <x:row r="15" ht="15" hidden="0" customHeight="1">
      <x:c r="A15" s="94" t="str">
        <x:v>数据库</x:v>
      </x:c>
      <x:c r="B15" s="95" t="str">
        <x:v>事务</x:v>
      </x:c>
      <x:c r="C15" s="95" t="str">
        <x:v>知道 ACID 和回滚</x:v>
      </x:c>
      <x:c r="D15" s="95" t="str">
        <x:v>项目例子</x:v>
      </x:c>
      <x:c r="E15" s="95" t="str">
        <x:v>ロールバック</x:v>
      </x:c>
      <x:c r="F15" s="96" t="str">
        <x:v>未开始</x:v>
      </x:c>
    </x:row>
    <x:row r="16" ht="15" hidden="0" customHeight="1">
      <x:c r="A16" s="94" t="str">
        <x:v>项目</x:v>
      </x:c>
      <x:c r="B16" s="95" t="str">
        <x:v>项目是做什么的</x:v>
      </x:c>
      <x:c r="C16" s="95" t="str">
        <x:v>能 3 分钟说清楚</x:v>
      </x:c>
      <x:c r="D16" s="95" t="str">
        <x:v>录音复盘</x:v>
      </x:c>
      <x:c r="E16" s="95" t="str">
        <x:v>勤怠管理システムです</x:v>
      </x:c>
      <x:c r="F16" s="96" t="str">
        <x:v>未开始</x:v>
      </x:c>
    </x:row>
    <x:row r="17" ht="15" hidden="0" customHeight="1">
      <x:c r="A17" s="94" t="str">
        <x:v>项目</x:v>
      </x:c>
      <x:c r="B17" s="95" t="str">
        <x:v>你负责什么</x:v>
      </x:c>
      <x:c r="C17" s="95" t="str">
        <x:v>能讲功能和代码模块</x:v>
      </x:c>
      <x:c r="D17" s="95" t="str">
        <x:v>STAR 法</x:v>
      </x:c>
      <x:c r="E17" s="95" t="str">
        <x:v>担当範囲</x:v>
      </x:c>
      <x:c r="F17" s="96" t="str">
        <x:v>未开始</x:v>
      </x:c>
    </x:row>
    <x:row r="18" ht="15" hidden="0" customHeight="1">
      <x:c r="A18" s="94" t="str">
        <x:v>项目</x:v>
      </x:c>
      <x:c r="B18" s="95" t="str">
        <x:v>遇到的问题和解决方法</x:v>
      </x:c>
      <x:c r="C18" s="95" t="str">
        <x:v>能讲一个真实问题</x:v>
      </x:c>
      <x:c r="D18" s="95" t="str">
        <x:v>准备 3 个案例</x:v>
      </x:c>
      <x:c r="E18" s="95" t="str">
        <x:v>原因調査/対応済み</x:v>
      </x:c>
      <x:c r="F18" s="96" t="str">
        <x:v>未开始</x:v>
      </x:c>
    </x:row>
    <x:row r="19" ht="15" hidden="0" customHeight="1">
      <x:c r="A19" s="94" t="str">
        <x:v>现场</x:v>
      </x:c>
      <x:c r="B19" s="95" t="str">
        <x:v>Git 冲突</x:v>
      </x:c>
      <x:c r="C19" s="95" t="str">
        <x:v>知道如何处理</x:v>
      </x:c>
      <x:c r="D19" s="95" t="str">
        <x:v>模拟冲突</x:v>
      </x:c>
      <x:c r="E19" s="95" t="str">
        <x:v>コンフリクト</x:v>
      </x:c>
      <x:c r="F19" s="96" t="str">
        <x:v>未开始</x:v>
      </x:c>
    </x:row>
    <x:row r="20" ht="15" hidden="0" customHeight="1">
      <x:c r="A20" s="94" t="str">
        <x:v>现场</x:v>
      </x:c>
      <x:c r="B20" s="95" t="str">
        <x:v>Linux 查日志</x:v>
      </x:c>
      <x:c r="C20" s="95" t="str">
        <x:v>能使用 tail/grep 等</x:v>
      </x:c>
      <x:c r="D20" s="95" t="str">
        <x:v>本地练习</x:v>
      </x:c>
      <x:c r="E20" s="95" t="str">
        <x:v>ログ確認</x:v>
      </x:c>
      <x:c r="F20" s="96" t="str">
        <x:v>未开始</x:v>
      </x:c>
    </x:row>
    <x:row r="21" ht="15" hidden="0" customHeight="1">
      <x:c r="A21" s="94" t="str">
        <x:v>现场</x:v>
      </x:c>
      <x:c r="B21" s="95" t="str">
        <x:v>Docker 启动服务</x:v>
      </x:c>
      <x:c r="C21" s="95" t="str">
        <x:v>能说明镜像和容器</x:v>
      </x:c>
      <x:c r="D21" s="95" t="str">
        <x:v>compose 启动项目</x:v>
      </x:c>
      <x:c r="E21" s="95" t="str">
        <x:v>コンテナ</x:v>
      </x:c>
      <x:c r="F21" s="96" t="str">
        <x:v>未开始</x:v>
      </x:c>
    </x:row>
    <x:row r="22" ht="15" hidden="0" customHeight="1">
      <x:c r="A22" s="94" t="str">
        <x:v>日语</x:v>
      </x:c>
      <x:c r="B22" s="95" t="str">
        <x:v>自我介绍</x:v>
      </x:c>
      <x:c r="C22" s="95" t="str">
        <x:v>1-2 分钟自然表达</x:v>
      </x:c>
      <x:c r="D22" s="95" t="str">
        <x:v>背诵后自由说</x:v>
      </x:c>
      <x:c r="E22" s="95" t="str">
        <x:v>自己紹介</x:v>
      </x:c>
      <x:c r="F22" s="96" t="str">
        <x:v>未开始</x:v>
      </x:c>
    </x:row>
    <x:row r="23" ht="15" hidden="0" customHeight="1">
      <x:c r="A23" s="94" t="str">
        <x:v>日语</x:v>
      </x:c>
      <x:c r="B23" s="95" t="str">
        <x:v>项目介绍</x:v>
      </x:c>
      <x:c r="C23" s="95" t="str">
        <x:v>3 分钟说明背景、技术、成果</x:v>
      </x:c>
      <x:c r="D23" s="95" t="str">
        <x:v>模拟面试</x:v>
      </x:c>
      <x:c r="E23" s="95" t="str">
        <x:v>プロジェクト説明</x:v>
      </x:c>
      <x:c r="F23" s="96" t="str">
        <x:v>未开始</x:v>
      </x:c>
    </x:row>
    <x:row r="24" ht="15" hidden="0" customHeight="1">
      <x:c r="A24" s="94" t="str">
        <x:v>日语</x:v>
      </x:c>
      <x:c r="B24" s="95" t="str">
        <x:v>不会时的回答</x:v>
      </x:c>
      <x:c r="C24" s="95" t="str">
        <x:v>能礼貌说明并请求确认</x:v>
      </x:c>
      <x:c r="D24" s="95" t="str">
        <x:v>固定句型</x:v>
      </x:c>
      <x:c r="E24" s="95" t="str">
        <x:v>確認させてください</x:v>
      </x:c>
      <x:c r="F24" s="96" t="str">
        <x:v>未开始</x:v>
      </x:c>
    </x:row>
    <x:row r="25" ht="15" hidden="0" customHeight="1">
      <x:c r="A25" s="94" t="str">
        <x:v>求职</x:v>
      </x:c>
      <x:c r="B25" s="95" t="str">
        <x:v>履历书</x:v>
      </x:c>
      <x:c r="C25" s="95" t="str">
        <x:v>无明显错字和格式问题</x:v>
      </x:c>
      <x:c r="D25" s="95" t="str">
        <x:v>请人检查</x:v>
      </x:c>
      <x:c r="E25" s="95" t="str">
        <x:v>履歴書</x:v>
      </x:c>
      <x:c r="F25" s="96" t="str">
        <x:v>未开始</x:v>
      </x:c>
    </x:row>
    <x:row r="26" ht="15" hidden="0" customHeight="1">
      <x:c r="A26" s="94" t="str">
        <x:v>求职</x:v>
      </x:c>
      <x:c r="B26" s="95" t="str">
        <x:v>职务経歴書</x:v>
      </x:c>
      <x:c r="C26" s="95" t="str">
        <x:v>项目和技能清楚</x:v>
      </x:c>
      <x:c r="D26" s="95" t="str">
        <x:v>每周更新</x:v>
      </x:c>
      <x:c r="E26" s="95" t="str">
        <x:v>職務経歴書</x:v>
      </x:c>
      <x:c r="F26" s="96" t="str">
        <x:v>未开始</x:v>
      </x:c>
    </x:row>
    <x:row r="27" ht="15" hidden="0" customHeight="1">
      <x:c r="A27" s="94" t="str">
        <x:v>求职</x:v>
      </x:c>
      <x:c r="B27" s="95" t="str">
        <x:v>投递记录</x:v>
      </x:c>
      <x:c r="C27" s="95" t="str">
        <x:v>每次记录反馈</x:v>
      </x:c>
      <x:c r="D27" s="95" t="str">
        <x:v>表格追踪</x:v>
      </x:c>
      <x:c r="E27" s="95" t="str">
        <x:v>応募状況</x:v>
      </x:c>
      <x:c r="F27" s="96" t="str">
        <x:v>未开始</x:v>
      </x:c>
    </x:row>
    <x:row r="28" ht="15" hidden="0" customHeight="1">
      <x:c r="A28" s="94" t="str">
        <x:v>求职</x:v>
      </x:c>
      <x:c r="B28" s="95" t="str">
        <x:v>企业 JD 阅读</x:v>
      </x:c>
      <x:c r="C28" s="95" t="str">
        <x:v>能提取必备技能</x:v>
      </x:c>
      <x:c r="D28" s="95" t="str">
        <x:v>每周看 10 个</x:v>
      </x:c>
      <x:c r="E28" s="95" t="str">
        <x:v>募集要項</x:v>
      </x:c>
      <x:c r="F28" s="96" t="str">
        <x:v>未开始</x:v>
      </x:c>
    </x:row>
    <x:row r="29" ht="15" hidden="0" customHeight="1">
      <x:c r="A29" s="94" t="str">
        <x:v>求职</x:v>
      </x:c>
      <x:c r="B29" s="95" t="str">
        <x:v>面试礼仪</x:v>
      </x:c>
      <x:c r="C29" s="95" t="str">
        <x:v>会基本寒暄和感谢</x:v>
      </x:c>
      <x:c r="D29" s="95" t="str">
        <x:v>模拟流程</x:v>
      </x:c>
      <x:c r="E29" s="95" t="str">
        <x:v>本日はよろしくお願いいたします</x:v>
      </x:c>
      <x:c r="F29" s="96" t="str">
        <x:v>未开始</x:v>
      </x:c>
    </x:row>
    <x:row r="30" ht="15" hidden="0" customHeight="1">
      <x:c r="A30" s="94" t="str">
        <x:v>补强</x:v>
      </x:c>
      <x:c r="B30" s="95" t="str">
        <x:v>AWS 基础</x:v>
      </x:c>
      <x:c r="C30" s="95" t="str">
        <x:v>知道 EC2/RDS/S3 概念</x:v>
      </x:c>
      <x:c r="D30" s="95" t="str">
        <x:v>可选学习</x:v>
      </x:c>
      <x:c r="E30" s="95" t="str">
        <x:v>クラウド</x:v>
      </x:c>
      <x:c r="F30" s="96" t="str">
        <x:v>未开始</x:v>
      </x:c>
    </x:row>
    <x:row r="31" ht="15" hidden="0" customHeight="1">
      <x:c r="A31" s="94" t="str">
        <x:v>补强</x:v>
      </x:c>
      <x:c r="B31" s="95" t="str">
        <x:v>设计书阅读</x:v>
      </x:c>
      <x:c r="C31" s="95" t="str">
        <x:v>能看懂基本设计/详细设计</x:v>
      </x:c>
      <x:c r="D31" s="95" t="str">
        <x:v>读样例</x:v>
      </x:c>
      <x:c r="E31" s="95" t="str">
        <x:v>基本設計/詳細設計</x:v>
      </x:c>
      <x:c r="F31" s="96" t="str">
        <x:v>未开始</x:v>
      </x:c>
    </x:row>
    <x:row r="32" ht="15" hidden="0" customHeight="1">
      <x:c r="A32" s="94" t="str">
        <x:v>补强</x:v>
      </x:c>
      <x:c r="B32" s="95" t="str">
        <x:v>测试仕様书</x:v>
      </x:c>
      <x:c r="C32" s="95" t="str">
        <x:v>能写正常/异常测试点</x:v>
      </x:c>
      <x:c r="D32" s="95" t="str">
        <x:v>项目补文档</x:v>
      </x:c>
      <x:c r="E32" s="95" t="str">
        <x:v>テスト仕様書</x:v>
      </x:c>
      <x:c r="F32" s="96" t="str">
        <x:v>未开始</x:v>
      </x:c>
    </x:row>
    <x:row r="33" ht="15" hidden="0" customHeight="1">
      <x:c r="A33" s="97" t="str">
        <x:v>补强</x:v>
      </x:c>
      <x:c r="B33" s="98" t="str">
        <x:v>代码 Review</x:v>
      </x:c>
      <x:c r="C33" s="98" t="str">
        <x:v>能接受并修正意见</x:v>
      </x:c>
      <x:c r="D33" s="98" t="str">
        <x:v>模拟 PR</x:v>
      </x:c>
      <x:c r="E33" s="98" t="str">
        <x:v>レビュー対応</x:v>
      </x:c>
      <x:c r="F33" s="99" t="str">
        <x:v>未开始</x:v>
      </x:c>
    </x:row>
  </x:sheetData>
  <x:mergeCells>
    <x:mergeCell ref="A1:F1"/>
  </x:mergeCells>
  <x:dataValidations count="1">
    <x:dataValidation type="list" sqref="F4:F33">
      <x:formula1>"未开始,进行中,已完成,延期"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42" hidden="0" customWidth="1"/>
    <x:col min="6" max="6" width="12" hidden="0" customWidth="1"/>
  </x:cols>
  <x:sheetData>
    <x:row r="1" ht="19.200000762939453" hidden="0" customHeight="1">
      <x:c r="A1" s="83" t="str">
        <x:v>技术日语速查表</x:v>
      </x:c>
      <x:c r="B1" s="83" t="str">
        <x:v>技术日语速查表</x:v>
      </x:c>
      <x:c r="C1" s="83" t="str">
        <x:v>技术日语速查表</x:v>
      </x:c>
      <x:c r="D1" s="83" t="str">
        <x:v>技术日语速查表</x:v>
      </x:c>
      <x:c r="E1" s="83" t="str">
        <x:v>技术日语速查表</x:v>
      </x:c>
      <x:c r="F1" s="83" t="str">
        <x:v>技术日语速查表</x:v>
      </x:c>
    </x:row>
    <x:row r="2" ht="15" hidden="0" customHeight="1">
      <x:c r="A2" s="84"/>
      <x:c r="B2" s="84"/>
      <x:c r="C2" s="84"/>
      <x:c r="D2" s="84"/>
      <x:c r="E2" s="84"/>
      <x:c r="F2" s="84"/>
    </x:row>
    <x:row r="3" ht="15" hidden="0" customHeight="1">
      <x:c r="A3" s="85" t="str">
        <x:v>中文</x:v>
      </x:c>
      <x:c r="B3" s="86" t="str">
        <x:v>日本語</x:v>
      </x:c>
      <x:c r="C3" s="86" t="str">
        <x:v>读音提示</x:v>
      </x:c>
      <x:c r="D3" s="86" t="str">
        <x:v>使用场景</x:v>
      </x:c>
      <x:c r="E3" s="86" t="str">
        <x:v>例句</x:v>
      </x:c>
      <x:c r="F3" s="87" t="str">
        <x:v>掌握状态</x:v>
      </x:c>
    </x:row>
    <x:row r="4" ht="15" hidden="0" customHeight="1">
      <x:c r="A4" s="91" t="str">
        <x:v>需求定义</x:v>
      </x:c>
      <x:c r="B4" s="92" t="str">
        <x:v>要件定義</x:v>
      </x:c>
      <x:c r="C4" s="92" t="str">
        <x:v>ようけんていぎ</x:v>
      </x:c>
      <x:c r="D4" s="92" t="str">
        <x:v>项目上游</x:v>
      </x:c>
      <x:c r="E4" s="92" t="str">
        <x:v>要件定義の内容を確認します。</x:v>
      </x:c>
      <x:c r="F4" s="93" t="str">
        <x:v>未开始</x:v>
      </x:c>
    </x:row>
    <x:row r="5" ht="15" hidden="0" customHeight="1">
      <x:c r="A5" s="94" t="str">
        <x:v>基本设计</x:v>
      </x:c>
      <x:c r="B5" s="95" t="str">
        <x:v>基本設計</x:v>
      </x:c>
      <x:c r="C5" s="95" t="str">
        <x:v>きほんせっけい</x:v>
      </x:c>
      <x:c r="D5" s="95" t="str">
        <x:v>设计阶段</x:v>
      </x:c>
      <x:c r="E5" s="95" t="str">
        <x:v>基本設計書を作成しました。</x:v>
      </x:c>
      <x:c r="F5" s="96" t="str">
        <x:v>未开始</x:v>
      </x:c>
    </x:row>
    <x:row r="6" ht="15" hidden="0" customHeight="1">
      <x:c r="A6" s="94" t="str">
        <x:v>详细设计</x:v>
      </x:c>
      <x:c r="B6" s="95" t="str">
        <x:v>詳細設計</x:v>
      </x:c>
      <x:c r="C6" s="95" t="str">
        <x:v>しょうさいせっけい</x:v>
      </x:c>
      <x:c r="D6" s="95" t="str">
        <x:v>实现前</x:v>
      </x:c>
      <x:c r="E6" s="95" t="str">
        <x:v>詳細設計に基づいて実装します。</x:v>
      </x:c>
      <x:c r="F6" s="96" t="str">
        <x:v>未开始</x:v>
      </x:c>
    </x:row>
    <x:row r="7" ht="15" hidden="0" customHeight="1">
      <x:c r="A7" s="94" t="str">
        <x:v>实现/编码</x:v>
      </x:c>
      <x:c r="B7" s="95" t="str">
        <x:v>実装</x:v>
      </x:c>
      <x:c r="C7" s="95" t="str">
        <x:v>じっそう</x:v>
      </x:c>
      <x:c r="D7" s="95" t="str">
        <x:v>开发</x:v>
      </x:c>
      <x:c r="E7" s="95" t="str">
        <x:v>ログイン機能を実装しました。</x:v>
      </x:c>
      <x:c r="F7" s="96" t="str">
        <x:v>未开始</x:v>
      </x:c>
    </x:row>
    <x:row r="8" ht="15" hidden="0" customHeight="1">
      <x:c r="A8" s="94" t="str">
        <x:v>单元测试</x:v>
      </x:c>
      <x:c r="B8" s="95" t="str">
        <x:v>単体テスト</x:v>
      </x:c>
      <x:c r="C8" s="95" t="str">
        <x:v>たんたいテスト</x:v>
      </x:c>
      <x:c r="D8" s="95" t="str">
        <x:v>测试</x:v>
      </x:c>
      <x:c r="E8" s="95" t="str">
        <x:v>単体テストは完了しました。</x:v>
      </x:c>
      <x:c r="F8" s="96" t="str">
        <x:v>未开始</x:v>
      </x:c>
    </x:row>
    <x:row r="9" ht="15" hidden="0" customHeight="1">
      <x:c r="A9" s="94" t="str">
        <x:v>集成测试</x:v>
      </x:c>
      <x:c r="B9" s="95" t="str">
        <x:v>結合テスト</x:v>
      </x:c>
      <x:c r="C9" s="95" t="str">
        <x:v>けつごうテスト</x:v>
      </x:c>
      <x:c r="D9" s="95" t="str">
        <x:v>测试</x:v>
      </x:c>
      <x:c r="E9" s="95" t="str">
        <x:v>結合テストで不具合が出ました。</x:v>
      </x:c>
      <x:c r="F9" s="96" t="str">
        <x:v>未开始</x:v>
      </x:c>
    </x:row>
    <x:row r="10" ht="15" hidden="0" customHeight="1">
      <x:c r="A10" s="94" t="str">
        <x:v>问题/Bug</x:v>
      </x:c>
      <x:c r="B10" s="95" t="str">
        <x:v>不具合</x:v>
      </x:c>
      <x:c r="C10" s="95" t="str">
        <x:v>ふぐあい</x:v>
      </x:c>
      <x:c r="D10" s="95" t="str">
        <x:v>报告问题</x:v>
      </x:c>
      <x:c r="E10" s="95" t="str">
        <x:v>不具合の原因を調査中です。</x:v>
      </x:c>
      <x:c r="F10" s="96" t="str">
        <x:v>未开始</x:v>
      </x:c>
    </x:row>
    <x:row r="11" ht="15" hidden="0" customHeight="1">
      <x:c r="A11" s="94" t="str">
        <x:v>修改</x:v>
      </x:c>
      <x:c r="B11" s="95" t="str">
        <x:v>修正</x:v>
      </x:c>
      <x:c r="C11" s="95" t="str">
        <x:v>しゅうせい</x:v>
      </x:c>
      <x:c r="D11" s="95" t="str">
        <x:v>处理问题</x:v>
      </x:c>
      <x:c r="E11" s="95" t="str">
        <x:v>修正が完了しました。</x:v>
      </x:c>
      <x:c r="F11" s="96" t="str">
        <x:v>未开始</x:v>
      </x:c>
    </x:row>
    <x:row r="12" ht="15" hidden="0" customHeight="1">
      <x:c r="A12" s="94" t="str">
        <x:v>确认</x:v>
      </x:c>
      <x:c r="B12" s="95" t="str">
        <x:v>確認</x:v>
      </x:c>
      <x:c r="C12" s="95" t="str">
        <x:v>かくにん</x:v>
      </x:c>
      <x:c r="D12" s="95" t="str">
        <x:v>请求确认</x:v>
      </x:c>
      <x:c r="E12" s="95" t="str">
        <x:v>ご確認をお願いします。</x:v>
      </x:c>
      <x:c r="F12" s="96" t="str">
        <x:v>未开始</x:v>
      </x:c>
    </x:row>
    <x:row r="13" ht="15" hidden="0" customHeight="1">
      <x:c r="A13" s="94" t="str">
        <x:v>对应/处理</x:v>
      </x:c>
      <x:c r="B13" s="95" t="str">
        <x:v>対応</x:v>
      </x:c>
      <x:c r="C13" s="95" t="str">
        <x:v>たいおう</x:v>
      </x:c>
      <x:c r="D13" s="95" t="str">
        <x:v>任务处理</x:v>
      </x:c>
      <x:c r="E13" s="95" t="str">
        <x:v>本日中に対応します。</x:v>
      </x:c>
      <x:c r="F13" s="96" t="str">
        <x:v>未开始</x:v>
      </x:c>
    </x:row>
    <x:row r="14" ht="15" hidden="0" customHeight="1">
      <x:c r="A14" s="94" t="str">
        <x:v>原因调查</x:v>
      </x:c>
      <x:c r="B14" s="95" t="str">
        <x:v>原因調査</x:v>
      </x:c>
      <x:c r="C14" s="95" t="str">
        <x:v>げんいんちょうさ</x:v>
      </x:c>
      <x:c r="D14" s="95" t="str">
        <x:v>排查</x:v>
      </x:c>
      <x:c r="E14" s="95" t="str">
        <x:v>現在、原因調査中です。</x:v>
      </x:c>
      <x:c r="F14" s="96" t="str">
        <x:v>未开始</x:v>
      </x:c>
    </x:row>
    <x:row r="15" ht="15" hidden="0" customHeight="1">
      <x:c r="A15" s="94" t="str">
        <x:v>权限</x:v>
      </x:c>
      <x:c r="B15" s="95" t="str">
        <x:v>権限</x:v>
      </x:c>
      <x:c r="C15" s="95" t="str">
        <x:v>けんげん</x:v>
      </x:c>
      <x:c r="D15" s="95" t="str">
        <x:v>系统功能</x:v>
      </x:c>
      <x:c r="E15" s="95" t="str">
        <x:v>管理者権限が必要です。</x:v>
      </x:c>
      <x:c r="F15" s="96" t="str">
        <x:v>未开始</x:v>
      </x:c>
    </x:row>
    <x:row r="16" ht="15" hidden="0" customHeight="1">
      <x:c r="A16" s="94" t="str">
        <x:v>审批流程</x:v>
      </x:c>
      <x:c r="B16" s="95" t="str">
        <x:v>承認フロー</x:v>
      </x:c>
      <x:c r="C16" s="95" t="str">
        <x:v>しょうにんフロー</x:v>
      </x:c>
      <x:c r="D16" s="95" t="str">
        <x:v>业务流程</x:v>
      </x:c>
      <x:c r="E16" s="95" t="str">
        <x:v>休暇申請の承認フローを実装しました。</x:v>
      </x:c>
      <x:c r="F16" s="96" t="str">
        <x:v>未开始</x:v>
      </x:c>
    </x:row>
    <x:row r="17" ht="15" hidden="0" customHeight="1">
      <x:c r="A17" s="94" t="str">
        <x:v>数据库连接</x:v>
      </x:c>
      <x:c r="B17" s="95" t="str">
        <x:v>DB接続</x:v>
      </x:c>
      <x:c r="C17" s="95" t="str">
        <x:v>DBせつぞく</x:v>
      </x:c>
      <x:c r="D17" s="95" t="str">
        <x:v>后端</x:v>
      </x:c>
      <x:c r="E17" s="95" t="str">
        <x:v>DB接続エラーを確認しました。</x:v>
      </x:c>
      <x:c r="F17" s="96" t="str">
        <x:v>未开始</x:v>
      </x:c>
    </x:row>
    <x:row r="18" ht="15" hidden="0" customHeight="1">
      <x:c r="A18" s="94" t="str">
        <x:v>搜索条件</x:v>
      </x:c>
      <x:c r="B18" s="95" t="str">
        <x:v>検索条件</x:v>
      </x:c>
      <x:c r="C18" s="95" t="str">
        <x:v>けんさくじょうけん</x:v>
      </x:c>
      <x:c r="D18" s="95" t="str">
        <x:v>列表功能</x:v>
      </x:c>
      <x:c r="E18" s="95" t="str">
        <x:v>検索条件を追加しました。</x:v>
      </x:c>
      <x:c r="F18" s="96" t="str">
        <x:v>未开始</x:v>
      </x:c>
    </x:row>
    <x:row r="19" ht="15" hidden="0" customHeight="1">
      <x:c r="A19" s="94" t="str">
        <x:v>分页</x:v>
      </x:c>
      <x:c r="B19" s="95" t="str">
        <x:v>ページング</x:v>
      </x:c>
      <x:c r="C19" s="95" t="str">
        <x:v>page-ing</x:v>
      </x:c>
      <x:c r="D19" s="95" t="str">
        <x:v>列表功能</x:v>
      </x:c>
      <x:c r="E19" s="95" t="str">
        <x:v>一覧画面にページングを追加しました。</x:v>
      </x:c>
      <x:c r="F19" s="96" t="str">
        <x:v>未开始</x:v>
      </x:c>
    </x:row>
    <x:row r="20" ht="15" hidden="0" customHeight="1">
      <x:c r="A20" s="94" t="str">
        <x:v>缓存</x:v>
      </x:c>
      <x:c r="B20" s="95" t="str">
        <x:v>キャッシュ</x:v>
      </x:c>
      <x:c r="C20" s="95" t="str">
        <x:v>cache</x:v>
      </x:c>
      <x:c r="D20" s="95" t="str">
        <x:v>性能</x:v>
      </x:c>
      <x:c r="E20" s="95" t="str">
        <x:v>検索結果をキャッシュします。</x:v>
      </x:c>
      <x:c r="F20" s="96" t="str">
        <x:v>未开始</x:v>
      </x:c>
    </x:row>
    <x:row r="21" ht="15" hidden="0" customHeight="1">
      <x:c r="A21" s="94" t="str">
        <x:v>日志</x:v>
      </x:c>
      <x:c r="B21" s="95" t="str">
        <x:v>ログ</x:v>
      </x:c>
      <x:c r="C21" s="95" t="str">
        <x:v>log</x:v>
      </x:c>
      <x:c r="D21" s="95" t="str">
        <x:v>排查</x:v>
      </x:c>
      <x:c r="E21" s="95" t="str">
        <x:v>ログを確認します。</x:v>
      </x:c>
      <x:c r="F21" s="96" t="str">
        <x:v>未开始</x:v>
      </x:c>
    </x:row>
    <x:row r="22" ht="15" hidden="0" customHeight="1">
      <x:c r="A22" s="94" t="str">
        <x:v>环境</x:v>
      </x:c>
      <x:c r="B22" s="95" t="str">
        <x:v>環境</x:v>
      </x:c>
      <x:c r="C22" s="95" t="str">
        <x:v>かんきょう</x:v>
      </x:c>
      <x:c r="D22" s="95" t="str">
        <x:v>部署</x:v>
      </x:c>
      <x:c r="E22" s="95" t="str">
        <x:v>開発環境で確認しました。</x:v>
      </x:c>
      <x:c r="F22" s="96" t="str">
        <x:v>未开始</x:v>
      </x:c>
    </x:row>
    <x:row r="23" ht="15" hidden="0" customHeight="1">
      <x:c r="A23" s="94" t="str">
        <x:v>发布</x:v>
      </x:c>
      <x:c r="B23" s="95" t="str">
        <x:v>リリース</x:v>
      </x:c>
      <x:c r="C23" s="95" t="str">
        <x:v>release</x:v>
      </x:c>
      <x:c r="D23" s="95" t="str">
        <x:v>上线</x:v>
      </x:c>
      <x:c r="E23" s="95" t="str">
        <x:v>明日リリース予定です。</x:v>
      </x:c>
      <x:c r="F23" s="96" t="str">
        <x:v>未开始</x:v>
      </x:c>
    </x:row>
    <x:row r="24" ht="15" hidden="0" customHeight="1">
      <x:c r="A24" s="94" t="str">
        <x:v>已完成</x:v>
      </x:c>
      <x:c r="B24" s="95" t="str">
        <x:v>対応済み</x:v>
      </x:c>
      <x:c r="C24" s="95" t="str">
        <x:v>たいおうずみ</x:v>
      </x:c>
      <x:c r="D24" s="95" t="str">
        <x:v>报告</x:v>
      </x:c>
      <x:c r="E24" s="95" t="str">
        <x:v>こちらは対応済みです。</x:v>
      </x:c>
      <x:c r="F24" s="96" t="str">
        <x:v>未开始</x:v>
      </x:c>
    </x:row>
    <x:row r="25" ht="15" hidden="0" customHeight="1">
      <x:c r="A25" s="97" t="str">
        <x:v>请稍等</x:v>
      </x:c>
      <x:c r="B25" s="98" t="str">
        <x:v>少々お待ちください</x:v>
      </x:c>
      <x:c r="C25" s="98" t="str">
        <x:v>しょうしょう</x:v>
      </x:c>
      <x:c r="D25" s="98" t="str">
        <x:v>沟通</x:v>
      </x:c>
      <x:c r="E25" s="98" t="str">
        <x:v>確認しますので、少々お待ちください。</x:v>
      </x:c>
      <x:c r="F25" s="99" t="str">
        <x:v>未开始</x:v>
      </x:c>
    </x:row>
  </x:sheetData>
  <x:mergeCells>
    <x:mergeCell ref="A1:F1"/>
  </x:mergeCells>
  <x:dataValidations count="1">
    <x:dataValidation type="list" sqref="F4:F25">
      <x:formula1>"未开始,进行中,已完成"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30" hidden="0" customWidth="1"/>
    <x:col min="7" max="7" width="30" hidden="0" customWidth="1"/>
    <x:col min="8" max="8" width="26" hidden="0" customWidth="1"/>
  </x:cols>
  <x:sheetData>
    <x:row r="1" ht="19.200000762939453" hidden="0" customHeight="1">
      <x:c r="A1" s="83" t="str">
        <x:v>学习进度看板</x:v>
      </x:c>
      <x:c r="B1" s="83" t="str">
        <x:v>学习进度看板</x:v>
      </x:c>
      <x:c r="C1" s="83" t="str">
        <x:v>学习进度看板</x:v>
      </x:c>
      <x:c r="D1" s="83" t="str">
        <x:v>学习进度看板</x:v>
      </x:c>
      <x:c r="E1" s="83" t="str">
        <x:v>学习进度看板</x:v>
      </x:c>
      <x:c r="F1" s="83" t="str">
        <x:v>学习进度看板</x:v>
      </x:c>
      <x:c r="G1" s="83" t="str">
        <x:v>学习进度看板</x:v>
      </x:c>
      <x:c r="H1" s="83" t="str">
        <x:v>学习进度看板</x:v>
      </x:c>
    </x:row>
    <x:row r="2" ht="15" hidden="0" customHeight="1">
      <x:c r="A2" s="84"/>
      <x:c r="B2" s="84"/>
      <x:c r="C2" s="84"/>
      <x:c r="D2" s="84"/>
      <x:c r="E2" s="84"/>
      <x:c r="F2" s="84"/>
      <x:c r="G2" s="84"/>
      <x:c r="H2" s="84"/>
    </x:row>
    <x:row r="3" ht="15" hidden="0" customHeight="1">
      <x:c r="A3" s="106" t="str">
        <x:v>总周数</x:v>
      </x:c>
      <x:c r="B3" s="107" t="n">
        <x:v>48</x:v>
      </x:c>
      <x:c r="C3" s="84"/>
      <x:c r="D3" s="85" t="str">
        <x:v>阶段</x:v>
      </x:c>
      <x:c r="E3" s="86" t="str">
        <x:v>起止周</x:v>
      </x:c>
      <x:c r="F3" s="86" t="str">
        <x:v>重点</x:v>
      </x:c>
      <x:c r="G3" s="86" t="str">
        <x:v>当前建议</x:v>
      </x:c>
      <x:c r="H3" s="87" t="str">
        <x:v>完成后标志</x:v>
      </x:c>
    </x:row>
    <x:row r="4" ht="15" hidden="0" customHeight="1">
      <x:c r="A4" s="108" t="str">
        <x:v>已完成周数</x:v>
      </x:c>
      <x:c r="B4" s="109" t="n">
        <x:f>COUNTIF('48周计划'!H4:H51,"已完成")</x:f>
        <x:v>0</x:v>
      </x:c>
      <x:c r="C4" s="84"/>
      <x:c r="D4" s="91" t="str">
        <x:v>Java基础</x:v>
      </x:c>
      <x:c r="E4" s="92" t="str">
        <x:v>1-6</x:v>
      </x:c>
      <x:c r="F4" s="92" t="str">
        <x:v>语法/OOP/集合/异常</x:v>
      </x:c>
      <x:c r="G4" s="92" t="str">
        <x:v>先多写小练习</x:v>
      </x:c>
      <x:c r="H4" s="93" t="str">
        <x:v>控制台项目完成</x:v>
      </x:c>
    </x:row>
    <x:row r="5" ht="15" hidden="0" customHeight="1">
      <x:c r="A5" s="108" t="str">
        <x:v>进行中周数</x:v>
      </x:c>
      <x:c r="B5" s="109" t="n">
        <x:f>COUNTIF('48周计划'!H4:H51,"进行中")</x:f>
        <x:v>1</x:v>
      </x:c>
      <x:c r="C5" s="84"/>
      <x:c r="D5" s="94" t="str">
        <x:v>数据库Web</x:v>
      </x:c>
      <x:c r="E5" s="95" t="str">
        <x:v>7-10</x:v>
      </x:c>
      <x:c r="F5" s="95" t="str">
        <x:v>SQL/HTTP/JSON</x:v>
      </x:c>
      <x:c r="G5" s="95" t="str">
        <x:v>多写 SQL</x:v>
      </x:c>
      <x:c r="H5" s="96" t="str">
        <x:v>能设计表和接口</x:v>
      </x:c>
    </x:row>
    <x:row r="6" ht="15" hidden="0" customHeight="1">
      <x:c r="A6" s="108" t="str">
        <x:v>延期周数</x:v>
      </x:c>
      <x:c r="B6" s="109" t="n">
        <x:f>COUNTIF('48周计划'!H4:H51,"延期")</x:f>
        <x:v>0</x:v>
      </x:c>
      <x:c r="C6" s="84"/>
      <x:c r="D6" s="94" t="str">
        <x:v>Spring Boot</x:v>
      </x:c>
      <x:c r="E6" s="95" t="str">
        <x:v>11-20</x:v>
      </x:c>
      <x:c r="F6" s="95" t="str">
        <x:v>REST/分层/认证</x:v>
      </x:c>
      <x:c r="G6" s="95" t="str">
        <x:v>做完整 CRUD</x:v>
      </x:c>
      <x:c r="H6" s="96" t="str">
        <x:v>项目能本地运行</x:v>
      </x:c>
    </x:row>
    <x:row r="7" ht="15" hidden="0" customHeight="1">
      <x:c r="A7" s="108" t="str">
        <x:v>整体完成率</x:v>
      </x:c>
      <x:c r="B7" s="110" t="n">
        <x:f>B4/B3</x:f>
        <x:v>0</x:v>
      </x:c>
      <x:c r="C7" s="84"/>
      <x:c r="D7" s="94" t="str">
        <x:v>现场技术</x:v>
      </x:c>
      <x:c r="E7" s="95" t="str">
        <x:v>21-28</x:v>
      </x:c>
      <x:c r="F7" s="95" t="str">
        <x:v>Linux/Docker/Redis/测试</x:v>
      </x:c>
      <x:c r="G7" s="95" t="str">
        <x:v>补现场工具</x:v>
      </x:c>
      <x:c r="H7" s="96" t="str">
        <x:v>会部署和查日志</x:v>
      </x:c>
    </x:row>
    <x:row r="8" ht="15" hidden="0" customHeight="1">
      <x:c r="A8" s="111" t="str">
        <x:v>剩余预计小时</x:v>
      </x:c>
      <x:c r="B8" s="112" t="n">
        <x:f>SUMIF('48周计划'!H4:H51,"&lt;&gt;已完成",'48周计划'!I4:I51)</x:f>
        <x:v>926</x:v>
      </x:c>
      <x:c r="C8" s="84"/>
      <x:c r="D8" s="94" t="str">
        <x:v>作品集</x:v>
      </x:c>
      <x:c r="E8" s="95" t="str">
        <x:v>29-40</x:v>
      </x:c>
      <x:c r="F8" s="95" t="str">
        <x:v>2-3 个项目</x:v>
      </x:c>
      <x:c r="G8" s="95" t="str">
        <x:v>重点打磨 README</x:v>
      </x:c>
      <x:c r="H8" s="96" t="str">
        <x:v>GitHub 可展示</x:v>
      </x:c>
    </x:row>
    <x:row r="9" ht="15" hidden="0" customHeight="1">
      <x:c r="A9" s="84"/>
      <x:c r="B9" s="84"/>
      <x:c r="C9" s="84"/>
      <x:c r="D9" s="97" t="str">
        <x:v>求职冲刺</x:v>
      </x:c>
      <x:c r="E9" s="98" t="str">
        <x:v>41-48</x:v>
      </x:c>
      <x:c r="F9" s="98" t="str">
        <x:v>简历/面试/投递</x:v>
      </x:c>
      <x:c r="G9" s="98" t="str">
        <x:v>每周复盘反馈</x:v>
      </x:c>
      <x:c r="H9" s="99" t="str">
        <x:v>持续获得面试</x:v>
      </x:c>
    </x:row>
  </x:sheetData>
  <x:mergeCells>
    <x:mergeCell ref="A1:H1"/>
  </x:mergeCells>
  <x:pageMargins left="0.7" right="0.7" top="0.75" bottom="0.75" header="0.3" footer="0.3"/>
</x:worksheet>
</file>